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style+xml" PartName="/xl/charts/style1.xml"/>
  <Override ContentType="application/vnd.ms-office.chartstyle+xml" PartName="/xl/charts/style2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en_skoroszyt" defaultThemeVersion="166925"/>
  <mc:AlternateContent>
    <mc:Choice Requires="x15">
      <x15ac:absPath xmlns:x15ac="http://schemas.microsoft.com/office/spreadsheetml/2010/11/ac" url="C:\Users\micha\OneDrive\Dokumenty\"/>
    </mc:Choice>
  </mc:AlternateContent>
  <xr:revisionPtr revIDLastSave="873" documentId="13_ncr:1_{5C6DF192-E41A-4BA3-B432-9F9B04BBAB27}" xr6:coauthVersionLast="45" xr6:coauthVersionMax="45" xr10:uidLastSave="{EBFBE4C1-A9BF-41FC-B7AD-AACAE53B6233}"/>
  <bookViews>
    <workbookView minimized="1" xWindow="2304" yWindow="2304" windowWidth="17280" windowHeight="8964" activeTab="2" xr2:uid="{D126A9FC-6634-40D3-A5A5-CD6FB8F9FABB}"/>
  </bookViews>
  <sheets>
    <sheet name="02.2020" sheetId="3" r:id="rId1"/>
    <sheet name="Bilans roczny" sheetId="4" r:id="rId2"/>
    <sheet name="Ustawienia" sheetId="2" r:id="rId3"/>
    <sheet name="Fundusze" sheetId="9" r:id="rId4"/>
    <sheet name="Ewidencja napraw samochodu" sheetId="10" r:id="rId5"/>
    <sheet name="Zakup mieszkania" sheetId="11" r:id="rId6"/>
    <sheet name="Dziesięciny" sheetId="12" r:id="rId7"/>
  </sheets>
  <functionGroups builtInGroupCount="19"/>
  <definedNames>
    <definedName name="_xlnm._FilterDatabase" localSheetId="3" hidden="1">Fundusze!$A$2:$D$10</definedName>
    <definedName name="Kategoria">Ustawienia!$A$2:$A$14</definedName>
    <definedName name="ListRob">Ustawienia!$B$2:$B$59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4" l="1"/>
  <c r="D20" i="4" s="1"/>
  <c r="O20" i="4" s="1"/>
  <c r="B77" i="4"/>
  <c r="D77" i="4" s="1"/>
  <c r="O77" i="4" s="1"/>
  <c r="C77" i="4"/>
  <c r="B78" i="4"/>
  <c r="C78" i="4"/>
  <c r="D78" i="4" s="1"/>
  <c r="O78" i="4" s="1"/>
  <c r="C54" i="3"/>
  <c r="C52" i="3"/>
  <c r="C41" i="3"/>
  <c r="C47" i="3" l="1"/>
  <c r="C34" i="3" l="1"/>
  <c r="C16" i="3" l="1"/>
  <c r="E13" i="9" l="1"/>
  <c r="D7" i="12"/>
  <c r="H7" i="12"/>
  <c r="C23" i="3"/>
  <c r="C24" i="3"/>
  <c r="B24" i="4" l="1"/>
  <c r="D24" i="4" s="1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21" i="4"/>
  <c r="D21" i="4" s="1"/>
  <c r="B18" i="4"/>
  <c r="D18" i="4" s="1"/>
  <c r="B19" i="4"/>
  <c r="D19" i="4" s="1"/>
  <c r="B17" i="4"/>
  <c r="D17" i="4" s="1"/>
  <c r="B16" i="4"/>
  <c r="D16" i="4" s="1"/>
  <c r="B10" i="4"/>
  <c r="D10" i="4" s="1"/>
  <c r="B11" i="4"/>
  <c r="D11" i="4" s="1"/>
  <c r="B12" i="4"/>
  <c r="B13" i="4"/>
  <c r="D13" i="4" s="1"/>
  <c r="B14" i="4"/>
  <c r="D14" i="4" s="1"/>
  <c r="B15" i="4"/>
  <c r="D15" i="4" s="1"/>
  <c r="B9" i="4"/>
  <c r="D9" i="4" s="1"/>
  <c r="B81" i="4"/>
  <c r="D81" i="4" s="1"/>
  <c r="O81" i="4" s="1"/>
  <c r="B82" i="4"/>
  <c r="D82" i="4" s="1"/>
  <c r="O82" i="4" s="1"/>
  <c r="B83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D52" i="4" l="1"/>
  <c r="D48" i="4"/>
  <c r="D44" i="4"/>
  <c r="D40" i="4"/>
  <c r="D36" i="4"/>
  <c r="D33" i="4"/>
  <c r="D31" i="4"/>
  <c r="O31" i="4" s="1"/>
  <c r="D29" i="4"/>
  <c r="O29" i="4" s="1"/>
  <c r="D27" i="4"/>
  <c r="O27" i="4" s="1"/>
  <c r="D25" i="4"/>
  <c r="O25" i="4" s="1"/>
  <c r="D56" i="4"/>
  <c r="D55" i="4"/>
  <c r="D51" i="4"/>
  <c r="D43" i="4"/>
  <c r="D39" i="4"/>
  <c r="D35" i="4"/>
  <c r="D64" i="4"/>
  <c r="O64" i="4" s="1"/>
  <c r="D62" i="4"/>
  <c r="O62" i="4" s="1"/>
  <c r="D60" i="4"/>
  <c r="O60" i="4" s="1"/>
  <c r="D58" i="4"/>
  <c r="D75" i="4"/>
  <c r="O75" i="4" s="1"/>
  <c r="D73" i="4"/>
  <c r="O73" i="4" s="1"/>
  <c r="D71" i="4"/>
  <c r="O71" i="4" s="1"/>
  <c r="D69" i="4"/>
  <c r="O69" i="4" s="1"/>
  <c r="D67" i="4"/>
  <c r="O67" i="4" s="1"/>
  <c r="D65" i="4"/>
  <c r="O65" i="4" s="1"/>
  <c r="O24" i="4"/>
  <c r="D54" i="4"/>
  <c r="D50" i="4"/>
  <c r="D46" i="4"/>
  <c r="D42" i="4"/>
  <c r="D38" i="4"/>
  <c r="D34" i="4"/>
  <c r="O34" i="4" s="1"/>
  <c r="D32" i="4"/>
  <c r="O32" i="4" s="1"/>
  <c r="D30" i="4"/>
  <c r="O30" i="4" s="1"/>
  <c r="D28" i="4"/>
  <c r="O28" i="4" s="1"/>
  <c r="D26" i="4"/>
  <c r="O26" i="4" s="1"/>
  <c r="D53" i="4"/>
  <c r="D49" i="4"/>
  <c r="D45" i="4"/>
  <c r="D41" i="4"/>
  <c r="D37" i="4"/>
  <c r="D63" i="4"/>
  <c r="O63" i="4" s="1"/>
  <c r="D61" i="4"/>
  <c r="O61" i="4" s="1"/>
  <c r="D59" i="4"/>
  <c r="O59" i="4" s="1"/>
  <c r="D57" i="4"/>
  <c r="O57" i="4" s="1"/>
  <c r="D76" i="4"/>
  <c r="O76" i="4" s="1"/>
  <c r="D74" i="4"/>
  <c r="O74" i="4" s="1"/>
  <c r="D72" i="4"/>
  <c r="O72" i="4" s="1"/>
  <c r="D70" i="4"/>
  <c r="O70" i="4" s="1"/>
  <c r="D68" i="4"/>
  <c r="O68" i="4" s="1"/>
  <c r="D66" i="4"/>
  <c r="O66" i="4" s="1"/>
  <c r="O33" i="4"/>
  <c r="O16" i="4"/>
  <c r="O17" i="4"/>
  <c r="O14" i="4"/>
  <c r="O18" i="4"/>
  <c r="O19" i="4"/>
  <c r="O9" i="4"/>
  <c r="O11" i="4"/>
  <c r="O13" i="4"/>
  <c r="O21" i="4"/>
  <c r="O10" i="4"/>
  <c r="O15" i="4"/>
  <c r="O58" i="4"/>
  <c r="G9" i="11"/>
  <c r="E4" i="11" l="1"/>
  <c r="E5" i="11"/>
  <c r="E6" i="11"/>
  <c r="E7" i="11"/>
  <c r="C8" i="11"/>
  <c r="E8" i="11" s="1"/>
  <c r="D9" i="11" l="1"/>
  <c r="C3" i="11"/>
  <c r="C12" i="3"/>
  <c r="B4" i="3"/>
  <c r="D12" i="4" l="1"/>
  <c r="O12" i="4" s="1"/>
  <c r="D47" i="4"/>
  <c r="D83" i="4"/>
  <c r="O83" i="4" s="1"/>
  <c r="E9" i="11"/>
  <c r="C9" i="11"/>
  <c r="E3" i="11"/>
  <c r="D11" i="9"/>
  <c r="D8" i="9"/>
  <c r="D4" i="9"/>
  <c r="D10" i="9"/>
  <c r="D7" i="9"/>
  <c r="D9" i="9"/>
  <c r="D5" i="9"/>
  <c r="D3" i="9"/>
  <c r="D6" i="9"/>
  <c r="D13" i="9" l="1"/>
  <c r="I13" i="9" s="1"/>
  <c r="O55" i="4" l="1"/>
  <c r="O56" i="4"/>
  <c r="O54" i="4" l="1"/>
  <c r="O51" i="4" l="1"/>
  <c r="O52" i="4"/>
  <c r="O53" i="4"/>
  <c r="O42" i="4" l="1"/>
  <c r="O41" i="4"/>
  <c r="O40" i="4"/>
  <c r="O46" i="4"/>
  <c r="O38" i="4"/>
  <c r="O48" i="4"/>
  <c r="O39" i="4"/>
  <c r="O37" i="4"/>
  <c r="O44" i="4"/>
  <c r="O43" i="4"/>
  <c r="O35" i="4"/>
  <c r="O45" i="4"/>
  <c r="O50" i="4"/>
  <c r="O47" i="4"/>
  <c r="O49" i="4"/>
  <c r="O36" i="4" l="1"/>
  <c r="K3" i="3" l="1"/>
  <c r="K4" i="3"/>
  <c r="D4" i="4" l="1"/>
  <c r="O4" i="4" s="1"/>
  <c r="D5" i="4"/>
  <c r="O5" i="4" s="1"/>
  <c r="K5" i="3"/>
  <c r="D6" i="4" l="1"/>
  <c r="O6" i="4" s="1"/>
</calcChain>
</file>

<file path=xl/sharedStrings.xml><?xml version="1.0" encoding="utf-8"?>
<sst xmlns="http://schemas.openxmlformats.org/spreadsheetml/2006/main" count="452" uniqueCount="145">
  <si>
    <t>Przychód</t>
  </si>
  <si>
    <t>Rozchód</t>
  </si>
  <si>
    <t>Bilans</t>
  </si>
  <si>
    <t>Data</t>
  </si>
  <si>
    <t>Kwota</t>
  </si>
  <si>
    <t>Kategoria</t>
  </si>
  <si>
    <t>Typ</t>
  </si>
  <si>
    <t>Komentarz</t>
  </si>
  <si>
    <t>Zmienny</t>
  </si>
  <si>
    <t>Rozrywka</t>
  </si>
  <si>
    <t>Stały</t>
  </si>
  <si>
    <t>Jednorazowy</t>
  </si>
  <si>
    <t>Prezenty</t>
  </si>
  <si>
    <t>Czynsz</t>
  </si>
  <si>
    <t>Lekarz</t>
  </si>
  <si>
    <t>Książki</t>
  </si>
  <si>
    <t>wrzesień</t>
  </si>
  <si>
    <t>październik</t>
  </si>
  <si>
    <t>grudzień</t>
  </si>
  <si>
    <t>Średnia</t>
  </si>
  <si>
    <t xml:space="preserve">       </t>
  </si>
  <si>
    <t xml:space="preserve">      </t>
  </si>
  <si>
    <t>Fundusze</t>
  </si>
  <si>
    <t>Nazwa</t>
  </si>
  <si>
    <t>Michał</t>
  </si>
  <si>
    <t>Basia</t>
  </si>
  <si>
    <t>Auto naprawy</t>
  </si>
  <si>
    <t>Auto nowe</t>
  </si>
  <si>
    <t>ING BB na czarna godzinę</t>
  </si>
  <si>
    <t>Auto opłaty</t>
  </si>
  <si>
    <t>Bilet MPK</t>
  </si>
  <si>
    <t>Chrześniak</t>
  </si>
  <si>
    <t>Kieszonkowe</t>
  </si>
  <si>
    <t>Szkoła</t>
  </si>
  <si>
    <t>Wakacje</t>
  </si>
  <si>
    <t>PKO</t>
  </si>
  <si>
    <t>Oszczędności</t>
  </si>
  <si>
    <t>ING MB na razie na mieszkanie</t>
  </si>
  <si>
    <t>Dzieci???</t>
  </si>
  <si>
    <t>Emerytura???</t>
  </si>
  <si>
    <t>DONE</t>
  </si>
  <si>
    <t>MB</t>
  </si>
  <si>
    <t>-</t>
  </si>
  <si>
    <t>ING ROR</t>
  </si>
  <si>
    <t>luty</t>
  </si>
  <si>
    <t>marzec</t>
  </si>
  <si>
    <t>kwiecień</t>
  </si>
  <si>
    <t>maj</t>
  </si>
  <si>
    <t>czerwiec</t>
  </si>
  <si>
    <t>lipiec</t>
  </si>
  <si>
    <t>sierpień</t>
  </si>
  <si>
    <t>listopad</t>
  </si>
  <si>
    <t>Bilans 2020</t>
  </si>
  <si>
    <t>Podkategoria</t>
  </si>
  <si>
    <t>Bilans luty</t>
  </si>
  <si>
    <t>Jedzenie</t>
  </si>
  <si>
    <t>Dom</t>
  </si>
  <si>
    <t>Praca</t>
  </si>
  <si>
    <t>Miasto</t>
  </si>
  <si>
    <t>Transport</t>
  </si>
  <si>
    <t>Mieszkanie</t>
  </si>
  <si>
    <t>Zdrowie</t>
  </si>
  <si>
    <t>Higiena</t>
  </si>
  <si>
    <t>Ubiór</t>
  </si>
  <si>
    <t>Paliwo</t>
  </si>
  <si>
    <t>Myjnia</t>
  </si>
  <si>
    <t>Przeglądy</t>
  </si>
  <si>
    <t>Naprawy</t>
  </si>
  <si>
    <t>Wyposażenie</t>
  </si>
  <si>
    <t>Ubezpieczenie</t>
  </si>
  <si>
    <t>Bilety MPK</t>
  </si>
  <si>
    <t>Bilety PKP</t>
  </si>
  <si>
    <t>Prąd</t>
  </si>
  <si>
    <t>Woda</t>
  </si>
  <si>
    <t>Gaz</t>
  </si>
  <si>
    <t>Sprzęt</t>
  </si>
  <si>
    <t>Lekarstwa</t>
  </si>
  <si>
    <t>Suplementy</t>
  </si>
  <si>
    <t>Dentysta</t>
  </si>
  <si>
    <t>Kosmetyki Michał</t>
  </si>
  <si>
    <t>Kosmetyki Basia</t>
  </si>
  <si>
    <t>Fryzjer Michał</t>
  </si>
  <si>
    <t>Fryzjer Basia</t>
  </si>
  <si>
    <t>Środki czystości</t>
  </si>
  <si>
    <t>Ubranie Michał</t>
  </si>
  <si>
    <t>Ubranie Basia</t>
  </si>
  <si>
    <t>Buty Michał</t>
  </si>
  <si>
    <t>Buty Basia</t>
  </si>
  <si>
    <t>Dodatki Michał</t>
  </si>
  <si>
    <t>Dodatki Basia</t>
  </si>
  <si>
    <t>Gry</t>
  </si>
  <si>
    <t>Kino</t>
  </si>
  <si>
    <t>Pensja Michał</t>
  </si>
  <si>
    <t>Pensja Basia</t>
  </si>
  <si>
    <t>Z oszczędności</t>
  </si>
  <si>
    <t>Dziesięcina</t>
  </si>
  <si>
    <t>Wpływy</t>
  </si>
  <si>
    <t>Inne</t>
  </si>
  <si>
    <t>Z poprzedniego miesiąca</t>
  </si>
  <si>
    <t>Pożyczka</t>
  </si>
  <si>
    <t>Kupno</t>
  </si>
  <si>
    <t>Oddana pożyczka</t>
  </si>
  <si>
    <t>Bogdan</t>
  </si>
  <si>
    <t>Skwp</t>
  </si>
  <si>
    <t>Za co?</t>
  </si>
  <si>
    <t>Ile zapłacono</t>
  </si>
  <si>
    <t>Bernacka</t>
  </si>
  <si>
    <t>Suma</t>
  </si>
  <si>
    <t>Kwota docelowa</t>
  </si>
  <si>
    <t>Potrzeba</t>
  </si>
  <si>
    <t>Opłata notarialna</t>
  </si>
  <si>
    <t>Wpis prawa własności w księgę wieczystą:</t>
  </si>
  <si>
    <t>Wpis hipoteki zwykłej w księgę wieczystą:</t>
  </si>
  <si>
    <t>Podatek od czynności cywilnoprawnych od ustanowienia hipoteki zwykłej:</t>
  </si>
  <si>
    <t>Mamy</t>
  </si>
  <si>
    <t>Sodexo</t>
  </si>
  <si>
    <t>Ewangelia na każdy dz.</t>
  </si>
  <si>
    <t>Tarcze</t>
  </si>
  <si>
    <t>Benefit</t>
  </si>
  <si>
    <t>Co?</t>
  </si>
  <si>
    <t>Ile?</t>
  </si>
  <si>
    <t>Na kogo</t>
  </si>
  <si>
    <t>Kto?</t>
  </si>
  <si>
    <t>klaryski</t>
  </si>
  <si>
    <t>wspólnota</t>
  </si>
  <si>
    <t>EV</t>
  </si>
  <si>
    <t>2Ryby</t>
  </si>
  <si>
    <t>Taca</t>
  </si>
  <si>
    <t>Curatus</t>
  </si>
  <si>
    <t>Jasiek</t>
  </si>
  <si>
    <t>DNS</t>
  </si>
  <si>
    <t>Od Dominika</t>
  </si>
  <si>
    <t>Od Basi</t>
  </si>
  <si>
    <t>batonik</t>
  </si>
  <si>
    <t>doniczki</t>
  </si>
  <si>
    <t>kawa z doradcą</t>
  </si>
  <si>
    <t>Zabiegi kosmetyczne</t>
  </si>
  <si>
    <t>paznokcie hybrydowe</t>
  </si>
  <si>
    <t>Inne opłaty</t>
  </si>
  <si>
    <t>za dowód - 100 z funduszu</t>
  </si>
  <si>
    <t>Bar</t>
  </si>
  <si>
    <t>Kwiaty</t>
  </si>
  <si>
    <t>type</t>
  </si>
  <si>
    <t>kom</t>
  </si>
  <si>
    <t>Dupa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</si>
</sst>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4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rgb="FF00B050"/>
      <name val="Calibri"/>
      <family val="2"/>
      <charset val="238"/>
      <scheme val="minor"/>
    </font>
    <font>
      <b/>
      <sz val="10"/>
      <color rgb="FF2F2F2F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color rgb="FFFF000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14" fontId="1" fillId="0" borderId="5" xfId="0" applyNumberFormat="1" applyFont="1" applyBorder="1" applyAlignment="1">
      <alignment wrapText="1"/>
    </xf>
    <xf numFmtId="0" fontId="0" fillId="0" borderId="1" xfId="0" applyBorder="1"/>
    <xf numFmtId="0" fontId="2" fillId="0" borderId="7" xfId="0" applyFont="1" applyBorder="1" applyAlignment="1">
      <alignment wrapText="1"/>
    </xf>
    <xf numFmtId="0" fontId="6" fillId="0" borderId="0" xfId="0" applyFont="1"/>
    <xf numFmtId="0" fontId="1" fillId="3" borderId="1" xfId="0" applyFont="1" applyFill="1" applyBorder="1" applyAlignment="1">
      <alignment wrapText="1"/>
    </xf>
    <xf numFmtId="14" fontId="1" fillId="3" borderId="5" xfId="0" applyNumberFormat="1" applyFont="1" applyFill="1" applyBorder="1" applyAlignment="1">
      <alignment wrapText="1"/>
    </xf>
    <xf numFmtId="14" fontId="1" fillId="0" borderId="10" xfId="0" applyNumberFormat="1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/>
    <xf numFmtId="2" fontId="0" fillId="0" borderId="0" xfId="0" applyNumberFormat="1"/>
    <xf numFmtId="2" fontId="4" fillId="0" borderId="4" xfId="0" applyNumberFormat="1" applyFont="1" applyBorder="1"/>
    <xf numFmtId="2" fontId="4" fillId="0" borderId="6" xfId="0" applyNumberFormat="1" applyFont="1" applyBorder="1"/>
    <xf numFmtId="2" fontId="2" fillId="0" borderId="9" xfId="0" applyNumberFormat="1" applyFont="1" applyBorder="1" applyAlignment="1">
      <alignment wrapText="1"/>
    </xf>
    <xf numFmtId="2" fontId="1" fillId="2" borderId="3" xfId="0" applyNumberFormat="1" applyFont="1" applyFill="1" applyBorder="1" applyAlignment="1">
      <alignment wrapText="1"/>
    </xf>
    <xf numFmtId="2" fontId="1" fillId="0" borderId="1" xfId="0" applyNumberFormat="1" applyFont="1" applyBorder="1" applyAlignment="1">
      <alignment horizontal="right" wrapText="1"/>
    </xf>
    <xf numFmtId="2" fontId="1" fillId="0" borderId="1" xfId="0" applyNumberFormat="1" applyFont="1" applyBorder="1" applyAlignment="1">
      <alignment wrapText="1"/>
    </xf>
    <xf numFmtId="2" fontId="1" fillId="0" borderId="11" xfId="0" applyNumberFormat="1" applyFont="1" applyBorder="1" applyAlignment="1">
      <alignment wrapText="1"/>
    </xf>
    <xf numFmtId="2" fontId="0" fillId="2" borderId="1" xfId="0" applyNumberFormat="1" applyFill="1" applyBorder="1"/>
    <xf numFmtId="2" fontId="8" fillId="0" borderId="1" xfId="0" applyNumberFormat="1" applyFont="1" applyBorder="1"/>
    <xf numFmtId="2" fontId="0" fillId="0" borderId="1" xfId="0" applyNumberFormat="1" applyBorder="1"/>
    <xf numFmtId="2" fontId="0" fillId="0" borderId="8" xfId="0" applyNumberFormat="1" applyBorder="1"/>
    <xf numFmtId="0" fontId="0" fillId="0" borderId="8" xfId="0" applyBorder="1"/>
    <xf numFmtId="14" fontId="1" fillId="0" borderId="7" xfId="0" applyNumberFormat="1" applyFont="1" applyBorder="1" applyAlignment="1">
      <alignment wrapText="1"/>
    </xf>
    <xf numFmtId="0" fontId="0" fillId="0" borderId="1" xfId="0" applyFill="1" applyBorder="1"/>
    <xf numFmtId="0" fontId="0" fillId="0" borderId="0" xfId="0" applyFill="1" applyBorder="1"/>
    <xf numFmtId="0" fontId="1" fillId="4" borderId="1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4" borderId="0" xfId="0" applyFont="1" applyFill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7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2" fillId="0" borderId="0" xfId="0" applyFont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0" borderId="9" xfId="0" applyFont="1" applyBorder="1"/>
    <xf numFmtId="0" fontId="0" fillId="0" borderId="0" xfId="0"/>
    <xf numFmtId="14" fontId="0" fillId="0" borderId="7" xfId="0" applyNumberFormat="1" applyBorder="1"/>
    <xf numFmtId="0" fontId="0" fillId="0" borderId="13" xfId="0" applyFill="1" applyBorder="1"/>
    <xf numFmtId="0" fontId="1" fillId="0" borderId="13" xfId="0" applyFont="1" applyFill="1" applyBorder="1" applyAlignment="1">
      <alignment wrapText="1"/>
    </xf>
    <xf numFmtId="0" fontId="1" fillId="3" borderId="13" xfId="0" applyFont="1" applyFill="1" applyBorder="1" applyAlignment="1">
      <alignment wrapText="1"/>
    </xf>
    <xf numFmtId="0" fontId="0" fillId="0" borderId="1" xfId="0" applyBorder="1" applyAlignment="1">
      <alignment horizontal="right"/>
    </xf>
    <xf numFmtId="9" fontId="0" fillId="0" borderId="1" xfId="0" applyNumberFormat="1" applyBorder="1" applyAlignment="1">
      <alignment horizontal="right"/>
    </xf>
    <xf numFmtId="0" fontId="0" fillId="0" borderId="0" xfId="0" applyBorder="1" applyAlignment="1">
      <alignment horizontal="right" vertical="center"/>
    </xf>
    <xf numFmtId="2" fontId="0" fillId="0" borderId="0" xfId="0" applyNumberFormat="1" applyBorder="1"/>
    <xf numFmtId="0" fontId="7" fillId="0" borderId="0" xfId="0" applyFont="1" applyBorder="1" applyAlignment="1">
      <alignment horizontal="right"/>
    </xf>
    <xf numFmtId="2" fontId="8" fillId="0" borderId="0" xfId="0" applyNumberFormat="1" applyFont="1" applyBorder="1"/>
    <xf numFmtId="2" fontId="0" fillId="0" borderId="16" xfId="0" applyNumberFormat="1" applyBorder="1"/>
    <xf numFmtId="0" fontId="1" fillId="0" borderId="0" xfId="0" applyFont="1"/>
    <xf numFmtId="0" fontId="1" fillId="0" borderId="6" xfId="0" applyFont="1" applyBorder="1"/>
    <xf numFmtId="0" fontId="1" fillId="0" borderId="12" xfId="0" applyFont="1" applyBorder="1"/>
    <xf numFmtId="0" fontId="13" fillId="0" borderId="12" xfId="0" applyFont="1" applyBorder="1"/>
    <xf numFmtId="0" fontId="9" fillId="0" borderId="1" xfId="0" applyFont="1" applyBorder="1" applyAlignment="1">
      <alignment horizontal="right"/>
    </xf>
    <xf numFmtId="0" fontId="10" fillId="0" borderId="1" xfId="0" applyFont="1" applyBorder="1" applyAlignment="1">
      <alignment horizontal="right"/>
    </xf>
    <xf numFmtId="0" fontId="7" fillId="0" borderId="1" xfId="0" applyFont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ny" xfId="0" builtinId="0"/>
  </cellStyles>
  <dxfs count="5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Miesięczne wydatki</a:t>
            </a:r>
            <a:r>
              <a:rPr lang="pl-PL" baseline="0"/>
              <a:t> według typu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'Bilans roczny'!$B$81:$C$81</c:f>
              <c:strCache>
                <c:ptCount val="2"/>
                <c:pt idx="0">
                  <c:v>Stały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roczny'!$D$80:$N$80</c:f>
              <c:strCache>
                <c:ptCount val="11"/>
                <c:pt idx="0">
                  <c:v>luty</c:v>
                </c:pt>
                <c:pt idx="1">
                  <c:v>marzec</c:v>
                </c:pt>
                <c:pt idx="2">
                  <c:v>kwiecień</c:v>
                </c:pt>
                <c:pt idx="3">
                  <c:v>maj</c:v>
                </c:pt>
                <c:pt idx="4">
                  <c:v>czerwiec</c:v>
                </c:pt>
                <c:pt idx="5">
                  <c:v>lipiec</c:v>
                </c:pt>
                <c:pt idx="6">
                  <c:v>sierpień</c:v>
                </c:pt>
                <c:pt idx="7">
                  <c:v>wrzesień</c:v>
                </c:pt>
                <c:pt idx="8">
                  <c:v>październik</c:v>
                </c:pt>
                <c:pt idx="9">
                  <c:v>listopad</c:v>
                </c:pt>
                <c:pt idx="10">
                  <c:v>grudzień</c:v>
                </c:pt>
              </c:strCache>
            </c:strRef>
          </c:cat>
          <c:val>
            <c:numRef>
              <c:f>'Bilans roczny'!$D$81:$E$81</c:f>
              <c:numCache>
                <c:formatCode>0.00</c:formatCode>
                <c:ptCount val="2"/>
                <c:pt idx="0">
                  <c:v>6047.91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1-4BD9-8F99-53D5262A41B9}"/>
            </c:ext>
          </c:extLst>
        </c:ser>
        <c:ser>
          <c:idx val="1"/>
          <c:order val="1"/>
          <c:tx>
            <c:strRef>
              <c:f>'Bilans roczny'!$B$82</c:f>
              <c:strCache>
                <c:ptCount val="1"/>
                <c:pt idx="0">
                  <c:v>Zmienny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roczny'!$D$80:$N$80</c:f>
              <c:strCache>
                <c:ptCount val="11"/>
                <c:pt idx="0">
                  <c:v>luty</c:v>
                </c:pt>
                <c:pt idx="1">
                  <c:v>marzec</c:v>
                </c:pt>
                <c:pt idx="2">
                  <c:v>kwiecień</c:v>
                </c:pt>
                <c:pt idx="3">
                  <c:v>maj</c:v>
                </c:pt>
                <c:pt idx="4">
                  <c:v>czerwiec</c:v>
                </c:pt>
                <c:pt idx="5">
                  <c:v>lipiec</c:v>
                </c:pt>
                <c:pt idx="6">
                  <c:v>sierpień</c:v>
                </c:pt>
                <c:pt idx="7">
                  <c:v>wrzesień</c:v>
                </c:pt>
                <c:pt idx="8">
                  <c:v>październik</c:v>
                </c:pt>
                <c:pt idx="9">
                  <c:v>listopad</c:v>
                </c:pt>
                <c:pt idx="10">
                  <c:v>grudzień</c:v>
                </c:pt>
              </c:strCache>
            </c:strRef>
          </c:cat>
          <c:val>
            <c:numRef>
              <c:f>'Bilans roczny'!$D$82:$E$82</c:f>
              <c:numCache>
                <c:formatCode>0.00</c:formatCode>
                <c:ptCount val="2"/>
                <c:pt idx="0">
                  <c:v>1823.39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F1-4BD9-8F99-53D5262A41B9}"/>
            </c:ext>
          </c:extLst>
        </c:ser>
        <c:ser>
          <c:idx val="2"/>
          <c:order val="2"/>
          <c:tx>
            <c:strRef>
              <c:f>'Bilans roczny'!$B$83</c:f>
              <c:strCache>
                <c:ptCount val="1"/>
                <c:pt idx="0">
                  <c:v>Jednorazowy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roczny'!$D$80:$N$80</c:f>
              <c:strCache>
                <c:ptCount val="11"/>
                <c:pt idx="0">
                  <c:v>luty</c:v>
                </c:pt>
                <c:pt idx="1">
                  <c:v>marzec</c:v>
                </c:pt>
                <c:pt idx="2">
                  <c:v>kwiecień</c:v>
                </c:pt>
                <c:pt idx="3">
                  <c:v>maj</c:v>
                </c:pt>
                <c:pt idx="4">
                  <c:v>czerwiec</c:v>
                </c:pt>
                <c:pt idx="5">
                  <c:v>lipiec</c:v>
                </c:pt>
                <c:pt idx="6">
                  <c:v>sierpień</c:v>
                </c:pt>
                <c:pt idx="7">
                  <c:v>wrzesień</c:v>
                </c:pt>
                <c:pt idx="8">
                  <c:v>październik</c:v>
                </c:pt>
                <c:pt idx="9">
                  <c:v>listopad</c:v>
                </c:pt>
                <c:pt idx="10">
                  <c:v>grudzień</c:v>
                </c:pt>
              </c:strCache>
            </c:strRef>
          </c:cat>
          <c:val>
            <c:numRef>
              <c:f>'Bilans roczny'!$D$83:$E$83</c:f>
              <c:numCache>
                <c:formatCode>0.00</c:formatCode>
                <c:ptCount val="2"/>
                <c:pt idx="0">
                  <c:v>10233.879999999999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F1-4BD9-8F99-53D5262A4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43768"/>
        <c:axId val="674045368"/>
      </c:lineChart>
      <c:catAx>
        <c:axId val="674043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74045368"/>
        <c:crosses val="autoZero"/>
        <c:auto val="1"/>
        <c:lblAlgn val="ctr"/>
        <c:lblOffset val="100"/>
        <c:noMultiLvlLbl val="0"/>
      </c:catAx>
      <c:valAx>
        <c:axId val="67404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7404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Miesięczny</a:t>
            </a:r>
            <a:r>
              <a:rPr lang="pl-PL" baseline="0"/>
              <a:t> bilans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'Bilans roczny'!$B$4</c:f>
              <c:strCache>
                <c:ptCount val="1"/>
                <c:pt idx="0">
                  <c:v>Przychód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roczny'!$D$3:$E$3</c:f>
              <c:strCache>
                <c:ptCount val="2"/>
                <c:pt idx="0">
                  <c:v>luty</c:v>
                </c:pt>
                <c:pt idx="1">
                  <c:v>marzec</c:v>
                </c:pt>
              </c:strCache>
            </c:strRef>
          </c:cat>
          <c:val>
            <c:numRef>
              <c:f>'Bilans roczny'!$D$4:$E$4</c:f>
              <c:numCache>
                <c:formatCode>0.00</c:formatCode>
                <c:ptCount val="2"/>
                <c:pt idx="0">
                  <c:v>19278.21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A-4D84-9C1F-5F3417E1C33A}"/>
            </c:ext>
          </c:extLst>
        </c:ser>
        <c:ser>
          <c:idx val="1"/>
          <c:order val="1"/>
          <c:tx>
            <c:strRef>
              <c:f>'Bilans roczny'!$B$5</c:f>
              <c:strCache>
                <c:ptCount val="1"/>
                <c:pt idx="0">
                  <c:v>Rozchód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roczny'!$D$3:$E$3</c:f>
              <c:strCache>
                <c:ptCount val="2"/>
                <c:pt idx="0">
                  <c:v>luty</c:v>
                </c:pt>
                <c:pt idx="1">
                  <c:v>marzec</c:v>
                </c:pt>
              </c:strCache>
            </c:strRef>
          </c:cat>
          <c:val>
            <c:numRef>
              <c:f>'Bilans roczny'!$D$5:$E$5</c:f>
              <c:numCache>
                <c:formatCode>0.00</c:formatCode>
                <c:ptCount val="2"/>
                <c:pt idx="0">
                  <c:v>-18605.179999999997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A-4D84-9C1F-5F3417E1C33A}"/>
            </c:ext>
          </c:extLst>
        </c:ser>
        <c:ser>
          <c:idx val="2"/>
          <c:order val="2"/>
          <c:tx>
            <c:strRef>
              <c:f>'Bilans roczny'!$B$6</c:f>
              <c:strCache>
                <c:ptCount val="1"/>
                <c:pt idx="0">
                  <c:v>Bilans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'Bilans roczny'!$D$3:$E$3</c:f>
              <c:strCache>
                <c:ptCount val="2"/>
                <c:pt idx="0">
                  <c:v>luty</c:v>
                </c:pt>
                <c:pt idx="1">
                  <c:v>marzec</c:v>
                </c:pt>
              </c:strCache>
            </c:strRef>
          </c:cat>
          <c:val>
            <c:numRef>
              <c:f>'Bilans roczny'!$D$6:$E$6</c:f>
              <c:numCache>
                <c:formatCode>0.00</c:formatCode>
                <c:ptCount val="2"/>
                <c:pt idx="0">
                  <c:v>673.03000000000247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EA-4D84-9C1F-5F3417E1C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9375440"/>
        <c:axId val="689375760"/>
      </c:lineChart>
      <c:catAx>
        <c:axId val="68937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89375760"/>
        <c:crosses val="autoZero"/>
        <c:auto val="1"/>
        <c:lblAlgn val="ctr"/>
        <c:lblOffset val="100"/>
        <c:noMultiLvlLbl val="0"/>
      </c:catAx>
      <c:valAx>
        <c:axId val="6893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8937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9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2</xdr:row>
          <xdr:rowOff>7620</xdr:rowOff>
        </xdr:from>
        <xdr:to>
          <xdr:col>7</xdr:col>
          <xdr:colOff>762000</xdr:colOff>
          <xdr:row>3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598170</xdr:colOff>
      <xdr:row>39</xdr:row>
      <xdr:rowOff>179070</xdr:rowOff>
    </xdr:from>
    <xdr:to>
      <xdr:col>23</xdr:col>
      <xdr:colOff>293370</xdr:colOff>
      <xdr:row>83</xdr:row>
      <xdr:rowOff>179070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3810</xdr:colOff>
      <xdr:row>1</xdr:row>
      <xdr:rowOff>171450</xdr:rowOff>
    </xdr:from>
    <xdr:to>
      <xdr:col>23</xdr:col>
      <xdr:colOff>308610</xdr:colOff>
      <xdr:row>34</xdr:row>
      <xdr:rowOff>171450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FF3EF-51E1-4ED4-B343-C7FFF21548DA}">
  <sheetPr codeName="Arkusz1"/>
  <dimension ref="B1:AA73"/>
  <sheetViews>
    <sheetView zoomScale="115" zoomScaleNormal="115" workbookViewId="0">
      <pane ySplit="6" topLeftCell="A37" activePane="bottomLeft" state="frozen"/>
      <selection activeCell="E28" sqref="E28"/>
      <selection pane="bottomLeft" activeCell="A25" sqref="A25:XFD25"/>
    </sheetView>
  </sheetViews>
  <sheetFormatPr defaultRowHeight="14.4" x14ac:dyDescent="0.3"/>
  <cols>
    <col min="2" max="2" customWidth="true" width="11.109375" collapsed="true"/>
    <col min="3" max="3" customWidth="true" style="18" width="14.109375" collapsed="true"/>
    <col min="4" max="4" customWidth="true" width="19.88671875" collapsed="true"/>
    <col min="5" max="5" customWidth="true" width="21.6640625" collapsed="true"/>
    <col min="6" max="6" customWidth="true" width="13.0" collapsed="true"/>
    <col min="7" max="7" customWidth="true" style="57" width="22.6640625" collapsed="true"/>
    <col min="8" max="8" customWidth="true" width="11.33203125" collapsed="true"/>
    <col min="9" max="10" bestFit="true" customWidth="true" width="9.33203125" collapsed="true"/>
  </cols>
  <sheetData>
    <row r="1" spans="2:27" ht="31.2" x14ac:dyDescent="0.6">
      <c r="B1" s="9" t="s">
        <v>54</v>
      </c>
      <c r="D1" s="39"/>
      <c r="E1" s="39"/>
    </row>
    <row r="2" spans="2:27" ht="15" thickBot="1" x14ac:dyDescent="0.35"/>
    <row r="3" spans="2:27" x14ac:dyDescent="0.3">
      <c r="B3" s="3" t="s">
        <v>3</v>
      </c>
      <c r="C3" s="22" t="s">
        <v>4</v>
      </c>
      <c r="D3" s="4" t="s">
        <v>5</v>
      </c>
      <c r="E3" s="4" t="s">
        <v>53</v>
      </c>
      <c r="F3" s="4" t="s">
        <v>6</v>
      </c>
      <c r="G3" s="5" t="s">
        <v>7</v>
      </c>
      <c r="J3" s="13" t="s">
        <v>0</v>
      </c>
      <c r="K3" s="19">
        <f>SUMIF(C8:C75,"&gt;0")</f>
        <v>19278.21</v>
      </c>
    </row>
    <row r="4" spans="2:27" ht="15" thickBot="1" x14ac:dyDescent="0.35">
      <c r="B4" s="46">
        <f ca="1">NOW()</f>
        <v>43868.990770949073</v>
      </c>
      <c r="C4" s="56"/>
      <c r="D4" s="43"/>
      <c r="E4" s="43"/>
      <c r="F4" s="43"/>
      <c r="G4" s="44"/>
      <c r="J4" s="14" t="s">
        <v>1</v>
      </c>
      <c r="K4" s="20">
        <f>SUMIF(C8:C75,"&lt;0")</f>
        <v>-18605.179999999997</v>
      </c>
    </row>
    <row r="5" spans="2:27" ht="15" thickBot="1" x14ac:dyDescent="0.35">
      <c r="J5" s="8" t="s">
        <v>2</v>
      </c>
      <c r="K5" s="21">
        <f>SUM(K3:K4)</f>
        <v>673.03000000000247</v>
      </c>
    </row>
    <row r="6" spans="2:27" ht="15" thickBot="1" x14ac:dyDescent="0.35">
      <c r="B6" s="42"/>
    </row>
    <row r="7" spans="2:27" x14ac:dyDescent="0.3">
      <c r="B7" s="3" t="s">
        <v>3</v>
      </c>
      <c r="C7" s="22" t="s">
        <v>4</v>
      </c>
      <c r="D7" s="4" t="s">
        <v>5</v>
      </c>
      <c r="E7" s="4" t="s">
        <v>53</v>
      </c>
      <c r="F7" s="4" t="s">
        <v>6</v>
      </c>
      <c r="G7" s="5" t="s">
        <v>7</v>
      </c>
    </row>
    <row r="8" spans="2:27" x14ac:dyDescent="0.3">
      <c r="B8" s="11">
        <v>43854</v>
      </c>
      <c r="C8" s="23">
        <v>7475.65</v>
      </c>
      <c r="D8" s="10" t="s">
        <v>96</v>
      </c>
      <c r="E8" s="10" t="s">
        <v>93</v>
      </c>
      <c r="F8" s="10"/>
      <c r="G8" s="58"/>
    </row>
    <row r="9" spans="2:27" x14ac:dyDescent="0.3">
      <c r="B9" s="11">
        <v>43854</v>
      </c>
      <c r="C9" s="23">
        <v>326.64999999999998</v>
      </c>
      <c r="D9" s="10" t="s">
        <v>96</v>
      </c>
      <c r="E9" s="10" t="s">
        <v>98</v>
      </c>
      <c r="F9" s="10"/>
      <c r="G9" s="58"/>
    </row>
    <row r="10" spans="2:27" x14ac:dyDescent="0.3">
      <c r="B10" s="11">
        <v>43854</v>
      </c>
      <c r="C10" s="23">
        <v>1000.35</v>
      </c>
      <c r="D10" s="10" t="s">
        <v>96</v>
      </c>
      <c r="E10" s="10" t="s">
        <v>94</v>
      </c>
      <c r="F10" s="10"/>
      <c r="G10" s="58" t="s">
        <v>132</v>
      </c>
    </row>
    <row r="11" spans="2:27" x14ac:dyDescent="0.3">
      <c r="B11" s="11">
        <v>43855</v>
      </c>
      <c r="C11" s="23">
        <v>-500</v>
      </c>
      <c r="D11" s="10" t="s">
        <v>99</v>
      </c>
      <c r="E11" s="10" t="s">
        <v>99</v>
      </c>
      <c r="F11" s="10" t="s">
        <v>11</v>
      </c>
      <c r="G11" s="58" t="s">
        <v>102</v>
      </c>
      <c r="I11" s="45"/>
      <c r="J11" s="45"/>
      <c r="K11" s="33"/>
      <c r="AA11" s="23"/>
    </row>
    <row r="12" spans="2:27" x14ac:dyDescent="0.3">
      <c r="B12" s="11">
        <v>43855</v>
      </c>
      <c r="C12" s="23">
        <f>-4387</f>
        <v>-4387</v>
      </c>
      <c r="D12" s="10" t="s">
        <v>60</v>
      </c>
      <c r="E12" s="10" t="s">
        <v>100</v>
      </c>
      <c r="F12" s="10" t="s">
        <v>11</v>
      </c>
      <c r="G12" s="58"/>
      <c r="I12" s="45"/>
    </row>
    <row r="13" spans="2:27" x14ac:dyDescent="0.3">
      <c r="B13" s="11">
        <v>43857</v>
      </c>
      <c r="C13" s="23">
        <v>-3900</v>
      </c>
      <c r="D13" s="10" t="s">
        <v>99</v>
      </c>
      <c r="E13" s="10" t="s">
        <v>99</v>
      </c>
      <c r="F13" s="10" t="s">
        <v>11</v>
      </c>
      <c r="G13" s="58" t="s">
        <v>103</v>
      </c>
      <c r="I13" s="45"/>
    </row>
    <row r="14" spans="2:27" x14ac:dyDescent="0.3">
      <c r="B14" s="6">
        <v>43857.841944444444</v>
      </c>
      <c r="C14" s="23">
        <v>45</v>
      </c>
      <c r="D14" s="10" t="s">
        <v>96</v>
      </c>
      <c r="E14" s="10" t="s">
        <v>101</v>
      </c>
      <c r="F14" s="10"/>
      <c r="G14" s="58"/>
      <c r="I14" s="45"/>
    </row>
    <row r="15" spans="2:27" x14ac:dyDescent="0.3">
      <c r="B15" s="6">
        <v>43857.842499999999</v>
      </c>
      <c r="C15" s="23">
        <v>210</v>
      </c>
      <c r="D15" s="10" t="s">
        <v>96</v>
      </c>
      <c r="E15" s="10" t="s">
        <v>93</v>
      </c>
      <c r="F15" s="10"/>
      <c r="G15" s="58" t="s">
        <v>115</v>
      </c>
      <c r="I15" s="45"/>
    </row>
    <row r="16" spans="2:27" x14ac:dyDescent="0.3">
      <c r="B16" s="6">
        <v>43858.842499999999</v>
      </c>
      <c r="C16" s="23">
        <f>747.88-30.98-7.98-8.75</f>
        <v>700.17</v>
      </c>
      <c r="D16" s="10" t="s">
        <v>96</v>
      </c>
      <c r="E16" s="10" t="s">
        <v>98</v>
      </c>
      <c r="F16" s="10"/>
      <c r="G16" s="58"/>
      <c r="I16" s="45"/>
    </row>
    <row r="17" spans="2:7" x14ac:dyDescent="0.3">
      <c r="B17" s="6">
        <v>43858.842499999999</v>
      </c>
      <c r="C17" s="23">
        <v>8990.39</v>
      </c>
      <c r="D17" s="10" t="s">
        <v>96</v>
      </c>
      <c r="E17" s="10" t="s">
        <v>92</v>
      </c>
      <c r="F17" s="10"/>
      <c r="G17" s="58"/>
    </row>
    <row r="18" spans="2:7" s="45" customFormat="1" x14ac:dyDescent="0.3">
      <c r="B18" s="6">
        <v>43858.814432870371</v>
      </c>
      <c r="C18" s="23">
        <v>30</v>
      </c>
      <c r="D18" s="10" t="s">
        <v>96</v>
      </c>
      <c r="E18" s="10" t="s">
        <v>92</v>
      </c>
      <c r="F18" s="10"/>
      <c r="G18" s="58" t="s">
        <v>118</v>
      </c>
    </row>
    <row r="19" spans="2:7" x14ac:dyDescent="0.3">
      <c r="B19" s="6">
        <v>43858.713888888888</v>
      </c>
      <c r="C19" s="23">
        <v>-21</v>
      </c>
      <c r="D19" s="10" t="s">
        <v>59</v>
      </c>
      <c r="E19" s="10" t="s">
        <v>66</v>
      </c>
      <c r="F19" s="10" t="s">
        <v>10</v>
      </c>
      <c r="G19" s="58"/>
    </row>
    <row r="20" spans="2:7" x14ac:dyDescent="0.3">
      <c r="B20" s="6">
        <v>43858.716956018521</v>
      </c>
      <c r="C20" s="23">
        <v>-15</v>
      </c>
      <c r="D20" s="10" t="s">
        <v>9</v>
      </c>
      <c r="E20" s="10" t="s">
        <v>15</v>
      </c>
      <c r="F20" s="10" t="s">
        <v>8</v>
      </c>
      <c r="G20" s="58" t="s">
        <v>116</v>
      </c>
    </row>
    <row r="21" spans="2:7" x14ac:dyDescent="0.3">
      <c r="B21" s="6">
        <v>43858.717129629629</v>
      </c>
      <c r="C21" s="23">
        <v>-2445</v>
      </c>
      <c r="D21" s="10" t="s">
        <v>60</v>
      </c>
      <c r="E21" s="10" t="s">
        <v>13</v>
      </c>
      <c r="F21" s="10" t="s">
        <v>10</v>
      </c>
      <c r="G21" s="58"/>
    </row>
    <row r="22" spans="2:7" x14ac:dyDescent="0.3">
      <c r="B22" s="6">
        <v>43858.720196759263</v>
      </c>
      <c r="C22" s="23">
        <v>-1450</v>
      </c>
      <c r="D22" s="10" t="s">
        <v>59</v>
      </c>
      <c r="E22" s="10" t="s">
        <v>67</v>
      </c>
      <c r="F22" s="10" t="s">
        <v>8</v>
      </c>
      <c r="G22" s="58" t="s">
        <v>117</v>
      </c>
    </row>
    <row r="23" spans="2:7" x14ac:dyDescent="0.3">
      <c r="B23" s="6">
        <v>43858.738449074073</v>
      </c>
      <c r="C23" s="23">
        <f>-450+70</f>
        <v>-380</v>
      </c>
      <c r="D23" s="10" t="s">
        <v>59</v>
      </c>
      <c r="E23" s="10" t="s">
        <v>70</v>
      </c>
      <c r="F23" s="10" t="s">
        <v>11</v>
      </c>
      <c r="G23" s="58"/>
    </row>
    <row r="24" spans="2:7" x14ac:dyDescent="0.3">
      <c r="B24" s="6">
        <v>43858.817696759259</v>
      </c>
      <c r="C24" s="23">
        <f>-800+70</f>
        <v>-730</v>
      </c>
      <c r="D24" s="10" t="s">
        <v>59</v>
      </c>
      <c r="E24" s="10" t="s">
        <v>70</v>
      </c>
      <c r="F24" s="10" t="s">
        <v>11</v>
      </c>
      <c r="G24" s="58"/>
    </row>
    <row r="25" spans="2:7" s="45" customFormat="1" x14ac:dyDescent="0.3">
      <c r="B25" s="6">
        <v>43858.834826388891</v>
      </c>
      <c r="C25" s="23">
        <v>-63.59</v>
      </c>
      <c r="D25" s="10" t="s">
        <v>55</v>
      </c>
      <c r="E25" s="10" t="s">
        <v>56</v>
      </c>
      <c r="F25" s="10" t="s">
        <v>10</v>
      </c>
      <c r="G25" s="58"/>
    </row>
    <row r="26" spans="2:7" x14ac:dyDescent="0.3">
      <c r="B26" s="6">
        <v>43859.817696759259</v>
      </c>
      <c r="C26" s="23">
        <v>-140</v>
      </c>
      <c r="D26" s="10" t="s">
        <v>22</v>
      </c>
      <c r="E26" s="10" t="s">
        <v>30</v>
      </c>
      <c r="F26" s="10" t="s">
        <v>10</v>
      </c>
      <c r="G26" s="58"/>
    </row>
    <row r="27" spans="2:7" x14ac:dyDescent="0.3">
      <c r="B27" s="6">
        <v>43859.307071759256</v>
      </c>
      <c r="C27" s="24">
        <v>-100</v>
      </c>
      <c r="D27" s="10" t="s">
        <v>22</v>
      </c>
      <c r="E27" s="10" t="s">
        <v>29</v>
      </c>
      <c r="F27" s="10" t="s">
        <v>10</v>
      </c>
      <c r="G27" s="58"/>
    </row>
    <row r="28" spans="2:7" s="45" customFormat="1" x14ac:dyDescent="0.3">
      <c r="B28" s="6">
        <v>43859.307789351849</v>
      </c>
      <c r="C28" s="24">
        <v>-300</v>
      </c>
      <c r="D28" s="10" t="s">
        <v>22</v>
      </c>
      <c r="E28" s="10" t="s">
        <v>26</v>
      </c>
      <c r="F28" s="10" t="s">
        <v>10</v>
      </c>
      <c r="G28" s="58"/>
    </row>
    <row r="29" spans="2:7" s="45" customFormat="1" x14ac:dyDescent="0.3">
      <c r="B29" s="6">
        <v>43859.307789351849</v>
      </c>
      <c r="C29" s="24">
        <v>-1000</v>
      </c>
      <c r="D29" s="10" t="s">
        <v>22</v>
      </c>
      <c r="E29" s="10" t="s">
        <v>27</v>
      </c>
      <c r="F29" s="10" t="s">
        <v>10</v>
      </c>
      <c r="G29" s="58"/>
    </row>
    <row r="30" spans="2:7" x14ac:dyDescent="0.3">
      <c r="B30" s="6">
        <v>43859.307789351849</v>
      </c>
      <c r="C30" s="24">
        <v>-125</v>
      </c>
      <c r="D30" s="10" t="s">
        <v>22</v>
      </c>
      <c r="E30" s="10" t="s">
        <v>31</v>
      </c>
      <c r="F30" s="10" t="s">
        <v>10</v>
      </c>
      <c r="G30" s="58"/>
    </row>
    <row r="31" spans="2:7" x14ac:dyDescent="0.3">
      <c r="B31" s="6">
        <v>43859.307789351849</v>
      </c>
      <c r="C31" s="24">
        <v>-200</v>
      </c>
      <c r="D31" s="10" t="s">
        <v>22</v>
      </c>
      <c r="E31" s="10" t="s">
        <v>12</v>
      </c>
      <c r="F31" s="10" t="s">
        <v>10</v>
      </c>
      <c r="G31" s="59"/>
    </row>
    <row r="32" spans="2:7" x14ac:dyDescent="0.3">
      <c r="B32" s="6">
        <v>43859.307789351849</v>
      </c>
      <c r="C32" s="24">
        <v>-400</v>
      </c>
      <c r="D32" s="10" t="s">
        <v>22</v>
      </c>
      <c r="E32" s="10" t="s">
        <v>34</v>
      </c>
      <c r="F32" s="10" t="s">
        <v>10</v>
      </c>
      <c r="G32" s="59"/>
    </row>
    <row r="33" spans="2:7" x14ac:dyDescent="0.3">
      <c r="B33" s="6">
        <v>43859.307789351849</v>
      </c>
      <c r="C33" s="25">
        <v>-300</v>
      </c>
      <c r="D33" s="10" t="s">
        <v>22</v>
      </c>
      <c r="E33" s="10" t="s">
        <v>32</v>
      </c>
      <c r="F33" s="10" t="s">
        <v>10</v>
      </c>
      <c r="G33" s="59"/>
    </row>
    <row r="34" spans="2:7" x14ac:dyDescent="0.3">
      <c r="B34" s="6">
        <v>43859.307789351849</v>
      </c>
      <c r="C34" s="25">
        <f>-100</f>
        <v>-100</v>
      </c>
      <c r="D34" s="10" t="s">
        <v>95</v>
      </c>
      <c r="E34" s="10" t="s">
        <v>95</v>
      </c>
      <c r="F34" s="10" t="s">
        <v>10</v>
      </c>
      <c r="G34" s="59" t="s">
        <v>130</v>
      </c>
    </row>
    <row r="35" spans="2:7" x14ac:dyDescent="0.3">
      <c r="B35" s="6">
        <v>43859.307789351849</v>
      </c>
      <c r="C35" s="25">
        <v>-150</v>
      </c>
      <c r="D35" s="10" t="s">
        <v>95</v>
      </c>
      <c r="E35" s="10" t="s">
        <v>95</v>
      </c>
      <c r="F35" s="10" t="s">
        <v>10</v>
      </c>
      <c r="G35" s="59" t="s">
        <v>128</v>
      </c>
    </row>
    <row r="36" spans="2:7" x14ac:dyDescent="0.3">
      <c r="B36" s="6">
        <v>43859.842719907407</v>
      </c>
      <c r="C36" s="23">
        <v>-400</v>
      </c>
      <c r="D36" s="10" t="s">
        <v>95</v>
      </c>
      <c r="E36" s="10" t="s">
        <v>95</v>
      </c>
      <c r="F36" s="10" t="s">
        <v>10</v>
      </c>
      <c r="G36" s="58" t="s">
        <v>129</v>
      </c>
    </row>
    <row r="37" spans="2:7" x14ac:dyDescent="0.3">
      <c r="B37" s="12">
        <v>43859.936678240738</v>
      </c>
      <c r="C37" s="25">
        <v>-36.950000000000003</v>
      </c>
      <c r="D37" s="10" t="s">
        <v>55</v>
      </c>
      <c r="E37" s="10" t="s">
        <v>57</v>
      </c>
      <c r="F37" s="10" t="s">
        <v>8</v>
      </c>
      <c r="G37" s="59"/>
    </row>
    <row r="38" spans="2:7" x14ac:dyDescent="0.3">
      <c r="B38" s="12">
        <v>43860.867812500001</v>
      </c>
      <c r="C38" s="25">
        <v>500</v>
      </c>
      <c r="D38" s="10" t="s">
        <v>96</v>
      </c>
      <c r="E38" s="10" t="s">
        <v>12</v>
      </c>
      <c r="F38" s="10" t="s">
        <v>11</v>
      </c>
      <c r="G38" s="59" t="s">
        <v>131</v>
      </c>
    </row>
    <row r="39" spans="2:7" x14ac:dyDescent="0.3">
      <c r="B39" s="12">
        <v>43862.929097222222</v>
      </c>
      <c r="C39" s="25">
        <v>-25</v>
      </c>
      <c r="D39" s="10" t="s">
        <v>62</v>
      </c>
      <c r="E39" s="10" t="s">
        <v>81</v>
      </c>
      <c r="F39" s="10" t="s">
        <v>10</v>
      </c>
      <c r="G39" s="59"/>
    </row>
    <row r="40" spans="2:7" x14ac:dyDescent="0.3">
      <c r="B40" s="12">
        <v>43862.929293981484</v>
      </c>
      <c r="C40" s="25">
        <v>-28</v>
      </c>
      <c r="D40" s="10" t="s">
        <v>59</v>
      </c>
      <c r="E40" s="10" t="s">
        <v>65</v>
      </c>
      <c r="F40" s="10" t="s">
        <v>8</v>
      </c>
      <c r="G40" s="59"/>
    </row>
    <row r="41" spans="2:7" x14ac:dyDescent="0.3">
      <c r="B41" s="12">
        <v>43862.930289351854</v>
      </c>
      <c r="C41" s="25">
        <f>-146.35-9.5</f>
        <v>-155.85</v>
      </c>
      <c r="D41" s="10" t="s">
        <v>55</v>
      </c>
      <c r="E41" s="10" t="s">
        <v>56</v>
      </c>
      <c r="F41" s="10" t="s">
        <v>10</v>
      </c>
      <c r="G41" s="59"/>
    </row>
    <row r="42" spans="2:7" x14ac:dyDescent="0.3">
      <c r="B42" s="12">
        <v>43862.930439814816</v>
      </c>
      <c r="C42" s="25">
        <v>-68</v>
      </c>
      <c r="D42" s="10" t="s">
        <v>55</v>
      </c>
      <c r="E42" s="10" t="s">
        <v>58</v>
      </c>
      <c r="F42" s="10" t="s">
        <v>8</v>
      </c>
      <c r="G42" s="59"/>
    </row>
    <row r="43" spans="2:7" x14ac:dyDescent="0.3">
      <c r="B43" s="12">
        <v>43862.930810185186</v>
      </c>
      <c r="C43" s="25">
        <v>-33.94</v>
      </c>
      <c r="D43" s="10" t="s">
        <v>61</v>
      </c>
      <c r="E43" s="10" t="s">
        <v>77</v>
      </c>
      <c r="F43" s="10" t="s">
        <v>8</v>
      </c>
      <c r="G43" s="59"/>
    </row>
    <row r="44" spans="2:7" x14ac:dyDescent="0.3">
      <c r="B44" s="12">
        <v>43861.837951388887</v>
      </c>
      <c r="C44" s="25">
        <v>-100</v>
      </c>
      <c r="D44" s="10" t="s">
        <v>61</v>
      </c>
      <c r="E44" s="10" t="s">
        <v>14</v>
      </c>
      <c r="F44" s="10" t="s">
        <v>11</v>
      </c>
      <c r="G44" s="59"/>
    </row>
    <row r="45" spans="2:7" x14ac:dyDescent="0.3">
      <c r="B45" s="12">
        <v>43861.837951388887</v>
      </c>
      <c r="C45" s="25">
        <v>-450</v>
      </c>
      <c r="D45" s="10" t="s">
        <v>61</v>
      </c>
      <c r="E45" s="10" t="s">
        <v>76</v>
      </c>
      <c r="F45" s="10" t="s">
        <v>11</v>
      </c>
      <c r="G45" s="59"/>
    </row>
    <row r="46" spans="2:7" x14ac:dyDescent="0.3">
      <c r="B46" s="12">
        <v>43861.837951388887</v>
      </c>
      <c r="C46" s="25">
        <v>-2</v>
      </c>
      <c r="D46" s="10" t="s">
        <v>55</v>
      </c>
      <c r="E46" s="10" t="s">
        <v>57</v>
      </c>
      <c r="F46" s="10" t="s">
        <v>10</v>
      </c>
      <c r="G46" s="59" t="s">
        <v>133</v>
      </c>
    </row>
    <row r="47" spans="2:7" x14ac:dyDescent="0.3">
      <c r="B47" s="12">
        <v>43859.837951388887</v>
      </c>
      <c r="C47" s="25">
        <f>-48.84+17.98</f>
        <v>-30.860000000000003</v>
      </c>
      <c r="D47" s="10" t="s">
        <v>55</v>
      </c>
      <c r="E47" s="10" t="s">
        <v>56</v>
      </c>
      <c r="F47" s="10" t="s">
        <v>10</v>
      </c>
      <c r="G47" s="59"/>
    </row>
    <row r="48" spans="2:7" ht="13.95" customHeight="1" x14ac:dyDescent="0.3">
      <c r="B48" s="12">
        <v>43859.837951388887</v>
      </c>
      <c r="C48" s="25">
        <v>-17.98</v>
      </c>
      <c r="D48" s="10" t="s">
        <v>60</v>
      </c>
      <c r="E48" s="10" t="s">
        <v>75</v>
      </c>
      <c r="F48" s="10" t="s">
        <v>11</v>
      </c>
      <c r="G48" s="59" t="s">
        <v>134</v>
      </c>
    </row>
    <row r="49" spans="2:7" x14ac:dyDescent="0.3">
      <c r="B49" s="12">
        <v>43861.837951388887</v>
      </c>
      <c r="C49" s="25">
        <v>-28.9</v>
      </c>
      <c r="D49" s="10" t="s">
        <v>55</v>
      </c>
      <c r="E49" s="10" t="s">
        <v>58</v>
      </c>
      <c r="F49" s="10" t="s">
        <v>11</v>
      </c>
      <c r="G49" s="59" t="s">
        <v>135</v>
      </c>
    </row>
    <row r="50" spans="2:7" x14ac:dyDescent="0.3">
      <c r="B50" s="12">
        <v>43865.696909722225</v>
      </c>
      <c r="C50" s="25">
        <v>-82.5</v>
      </c>
      <c r="D50" s="10" t="s">
        <v>59</v>
      </c>
      <c r="E50" s="10" t="s">
        <v>138</v>
      </c>
      <c r="F50" s="10" t="s">
        <v>8</v>
      </c>
      <c r="G50" s="60" t="s">
        <v>139</v>
      </c>
    </row>
    <row r="51" spans="2:7" ht="14.4" customHeight="1" x14ac:dyDescent="0.3">
      <c r="B51" s="12">
        <v>43864.698310185187</v>
      </c>
      <c r="C51" s="25">
        <v>-80</v>
      </c>
      <c r="D51" s="10" t="s">
        <v>62</v>
      </c>
      <c r="E51" s="10" t="s">
        <v>136</v>
      </c>
      <c r="F51" s="10" t="s">
        <v>8</v>
      </c>
      <c r="G51" s="59" t="s">
        <v>137</v>
      </c>
    </row>
    <row r="52" spans="2:7" ht="14.4" customHeight="1" x14ac:dyDescent="0.3">
      <c r="B52" s="12">
        <v>43864.698310185187</v>
      </c>
      <c r="C52" s="25">
        <f>-6.23-22.82</f>
        <v>-29.05</v>
      </c>
      <c r="D52" s="10" t="s">
        <v>55</v>
      </c>
      <c r="E52" s="10" t="s">
        <v>56</v>
      </c>
      <c r="F52" s="10" t="s">
        <v>10</v>
      </c>
      <c r="G52" s="59"/>
    </row>
    <row r="53" spans="2:7" x14ac:dyDescent="0.3">
      <c r="B53" s="12">
        <v>43864.698310185187</v>
      </c>
      <c r="C53" s="25">
        <v>-9</v>
      </c>
      <c r="D53" s="10" t="s">
        <v>9</v>
      </c>
      <c r="E53" s="10" t="s">
        <v>140</v>
      </c>
      <c r="F53" s="10" t="s">
        <v>8</v>
      </c>
      <c r="G53" s="59"/>
    </row>
    <row r="54" spans="2:7" x14ac:dyDescent="0.3">
      <c r="B54" s="12">
        <v>43865</v>
      </c>
      <c r="C54" s="25">
        <f>-13.55-4.98</f>
        <v>-18.53</v>
      </c>
      <c r="D54" s="10" t="s">
        <v>55</v>
      </c>
      <c r="E54" s="10" t="s">
        <v>56</v>
      </c>
      <c r="F54" s="10" t="s">
        <v>10</v>
      </c>
      <c r="G54" s="59"/>
    </row>
    <row r="55" spans="2:7" x14ac:dyDescent="0.3">
      <c r="B55" s="12">
        <v>43867</v>
      </c>
      <c r="C55" s="25">
        <v>-2</v>
      </c>
      <c r="D55" s="10" t="s">
        <v>95</v>
      </c>
      <c r="E55" s="10" t="s">
        <v>95</v>
      </c>
      <c r="F55" s="10" t="s">
        <v>10</v>
      </c>
      <c r="G55" s="59"/>
    </row>
    <row r="56" spans="2:7" x14ac:dyDescent="0.3">
      <c r="B56" s="12">
        <v>43867</v>
      </c>
      <c r="C56" s="25">
        <v>-20</v>
      </c>
      <c r="D56" s="10" t="s">
        <v>12</v>
      </c>
      <c r="E56" s="10" t="s">
        <v>12</v>
      </c>
      <c r="F56" s="10" t="s">
        <v>8</v>
      </c>
      <c r="G56" s="59" t="s">
        <v>141</v>
      </c>
    </row>
    <row r="57" spans="2:7" x14ac:dyDescent="0.3">
      <c r="B57" s="12">
        <v>43867</v>
      </c>
      <c r="C57" s="25">
        <v>-40.03</v>
      </c>
      <c r="D57" s="10" t="s">
        <v>55</v>
      </c>
      <c r="E57" s="10" t="s">
        <v>56</v>
      </c>
      <c r="F57" s="10" t="s">
        <v>10</v>
      </c>
      <c r="G57" s="59"/>
    </row>
    <row r="58" spans="2:7" x14ac:dyDescent="0.3">
      <c r="B58" s="12">
        <v>43867</v>
      </c>
      <c r="C58" s="25">
        <v>-240</v>
      </c>
      <c r="D58" s="10" t="s">
        <v>61</v>
      </c>
      <c r="E58" s="10" t="s">
        <v>14</v>
      </c>
      <c r="F58" s="10" t="s">
        <v>11</v>
      </c>
      <c r="G58" s="59"/>
    </row>
    <row r="59" spans="2:7" x14ac:dyDescent="0.3">
      <c r="B59" s="12" t="n">
        <v>43869.0</v>
      </c>
      <c r="C59" s="25" t="n">
        <v>100.0</v>
      </c>
      <c r="D59" s="10" t="s">
        <v>55</v>
      </c>
      <c r="E59" s="10" t="s">
        <v>56</v>
      </c>
      <c r="F59" s="10" t="s">
        <v>142</v>
      </c>
      <c r="G59" s="59" t="s">
        <v>143</v>
      </c>
    </row>
    <row r="60" spans="2:7" x14ac:dyDescent="0.3">
      <c r="B60" s="12" t="n">
        <v>43869.0</v>
      </c>
      <c r="C60" s="25" t="n">
        <v>100.0</v>
      </c>
      <c r="D60" s="10" t="s">
        <v>55</v>
      </c>
      <c r="E60" s="10" t="s">
        <v>56</v>
      </c>
      <c r="F60" s="10" t="s">
        <v>142</v>
      </c>
      <c r="G60" s="59" t="s">
        <v>143</v>
      </c>
    </row>
    <row r="61" spans="2:7" ht="13.2" customHeight="1" x14ac:dyDescent="0.3">
      <c r="B61" s="12" t="n">
        <v>43869.0</v>
      </c>
      <c r="C61" s="25" t="n">
        <v>100.0</v>
      </c>
      <c r="D61" s="10" t="s">
        <v>144</v>
      </c>
      <c r="E61" s="10" t="s">
        <v>56</v>
      </c>
      <c r="F61" s="10" t="s">
        <v>142</v>
      </c>
      <c r="G61" s="59" t="s">
        <v>143</v>
      </c>
    </row>
    <row r="62" spans="2:7" ht="13.2" customHeight="1" x14ac:dyDescent="0.3">
      <c r="B62" s="6"/>
      <c r="C62" s="24"/>
      <c r="D62" s="10"/>
      <c r="E62" s="10"/>
      <c r="F62" s="10"/>
      <c r="G62" s="58"/>
    </row>
    <row r="63" spans="2:7" ht="13.2" customHeight="1" x14ac:dyDescent="0.3">
      <c r="B63" s="6"/>
      <c r="C63" s="24"/>
      <c r="D63" s="10"/>
      <c r="E63" s="10"/>
      <c r="F63" s="10"/>
      <c r="G63" s="58"/>
    </row>
    <row r="64" spans="2:7" ht="13.2" customHeight="1" x14ac:dyDescent="0.3">
      <c r="B64" s="6"/>
      <c r="C64" s="24"/>
      <c r="D64" s="10"/>
      <c r="E64" s="10"/>
      <c r="F64" s="10"/>
      <c r="G64" s="58"/>
    </row>
    <row r="65" spans="2:7" ht="13.2" customHeight="1" x14ac:dyDescent="0.3">
      <c r="B65" s="12"/>
      <c r="C65" s="25"/>
      <c r="D65" s="10"/>
      <c r="E65" s="10"/>
      <c r="F65" s="10"/>
      <c r="G65" s="59"/>
    </row>
    <row r="66" spans="2:7" ht="13.2" customHeight="1" x14ac:dyDescent="0.3">
      <c r="B66" s="12"/>
      <c r="C66" s="25"/>
      <c r="D66" s="10"/>
      <c r="E66" s="10"/>
      <c r="F66" s="10"/>
      <c r="G66" s="59"/>
    </row>
    <row r="67" spans="2:7" ht="13.2" customHeight="1" x14ac:dyDescent="0.3">
      <c r="B67" s="12"/>
      <c r="C67" s="25"/>
      <c r="D67" s="10"/>
      <c r="E67" s="10"/>
      <c r="F67" s="10"/>
      <c r="G67" s="59"/>
    </row>
    <row r="68" spans="2:7" ht="13.2" customHeight="1" x14ac:dyDescent="0.3">
      <c r="B68" s="12"/>
      <c r="C68" s="25"/>
      <c r="D68" s="10"/>
      <c r="E68" s="10"/>
      <c r="F68" s="10"/>
      <c r="G68" s="59"/>
    </row>
    <row r="69" spans="2:7" ht="13.2" customHeight="1" x14ac:dyDescent="0.3">
      <c r="B69" s="12"/>
      <c r="C69" s="25"/>
      <c r="D69" s="10"/>
      <c r="E69" s="10"/>
      <c r="F69" s="10"/>
      <c r="G69" s="59"/>
    </row>
    <row r="70" spans="2:7" ht="13.2" customHeight="1" x14ac:dyDescent="0.3">
      <c r="B70" s="12"/>
      <c r="C70" s="25"/>
      <c r="D70" s="10"/>
      <c r="E70" s="10"/>
      <c r="F70" s="10"/>
      <c r="G70" s="59"/>
    </row>
    <row r="71" spans="2:7" ht="13.2" customHeight="1" x14ac:dyDescent="0.3">
      <c r="B71" s="12"/>
      <c r="C71" s="25"/>
      <c r="D71" s="10"/>
      <c r="E71" s="10"/>
      <c r="F71" s="10"/>
      <c r="G71" s="59"/>
    </row>
    <row r="72" spans="2:7" ht="13.2" customHeight="1" x14ac:dyDescent="0.3">
      <c r="B72" s="12"/>
      <c r="C72" s="25"/>
      <c r="D72" s="10"/>
      <c r="E72" s="10"/>
      <c r="F72" s="10"/>
      <c r="G72" s="59"/>
    </row>
    <row r="73" spans="2:7" ht="15" thickBot="1" x14ac:dyDescent="0.35">
      <c r="B73" s="31"/>
      <c r="C73" s="29"/>
      <c r="D73" s="30"/>
      <c r="E73" s="30"/>
      <c r="F73" s="30"/>
      <c r="G73" s="44"/>
    </row>
  </sheetData>
  <conditionalFormatting sqref="C61:C62 C49:C50 C53:C55 K3:K5 C33 C36:C44 C13:C30">
    <cfRule type="cellIs" dxfId="57" priority="58" operator="greaterThan">
      <formula>0</formula>
    </cfRule>
  </conditionalFormatting>
  <conditionalFormatting sqref="K3:K5">
    <cfRule type="cellIs" dxfId="56" priority="55" operator="lessThan">
      <formula>0</formula>
    </cfRule>
    <cfRule type="cellIs" dxfId="55" priority="56" operator="greaterThan">
      <formula>0</formula>
    </cfRule>
  </conditionalFormatting>
  <conditionalFormatting sqref="C61:C62 C49:C50 C53:C55 K3:K5 C33 C36:C44 C13:C30">
    <cfRule type="cellIs" dxfId="54" priority="57" operator="lessThan">
      <formula>0</formula>
    </cfRule>
  </conditionalFormatting>
  <conditionalFormatting sqref="C56">
    <cfRule type="cellIs" dxfId="53" priority="54" operator="greaterThan">
      <formula>0</formula>
    </cfRule>
  </conditionalFormatting>
  <conditionalFormatting sqref="C56">
    <cfRule type="cellIs" dxfId="52" priority="53" operator="lessThan">
      <formula>0</formula>
    </cfRule>
  </conditionalFormatting>
  <conditionalFormatting sqref="C49">
    <cfRule type="cellIs" dxfId="51" priority="52" operator="greaterThan">
      <formula>0</formula>
    </cfRule>
  </conditionalFormatting>
  <conditionalFormatting sqref="C49">
    <cfRule type="cellIs" dxfId="50" priority="51" operator="lessThan">
      <formula>0</formula>
    </cfRule>
  </conditionalFormatting>
  <conditionalFormatting sqref="C51:C52">
    <cfRule type="cellIs" dxfId="49" priority="50" operator="greaterThan">
      <formula>0</formula>
    </cfRule>
  </conditionalFormatting>
  <conditionalFormatting sqref="C51:C52">
    <cfRule type="cellIs" dxfId="48" priority="49" operator="lessThan">
      <formula>0</formula>
    </cfRule>
  </conditionalFormatting>
  <conditionalFormatting sqref="C51:C52">
    <cfRule type="cellIs" dxfId="47" priority="48" operator="greaterThan">
      <formula>0</formula>
    </cfRule>
  </conditionalFormatting>
  <conditionalFormatting sqref="C51:C52">
    <cfRule type="cellIs" dxfId="46" priority="47" operator="lessThan">
      <formula>0</formula>
    </cfRule>
  </conditionalFormatting>
  <conditionalFormatting sqref="C46">
    <cfRule type="cellIs" dxfId="45" priority="46" operator="greaterThan">
      <formula>0</formula>
    </cfRule>
  </conditionalFormatting>
  <conditionalFormatting sqref="C46">
    <cfRule type="cellIs" dxfId="44" priority="45" operator="lessThan">
      <formula>0</formula>
    </cfRule>
  </conditionalFormatting>
  <conditionalFormatting sqref="C48">
    <cfRule type="cellIs" dxfId="43" priority="44" operator="greaterThan">
      <formula>0</formula>
    </cfRule>
  </conditionalFormatting>
  <conditionalFormatting sqref="C48">
    <cfRule type="cellIs" dxfId="42" priority="43" operator="lessThan">
      <formula>0</formula>
    </cfRule>
  </conditionalFormatting>
  <conditionalFormatting sqref="C47">
    <cfRule type="cellIs" dxfId="41" priority="42" operator="greaterThan">
      <formula>0</formula>
    </cfRule>
  </conditionalFormatting>
  <conditionalFormatting sqref="C47">
    <cfRule type="cellIs" dxfId="40" priority="41" operator="lessThan">
      <formula>0</formula>
    </cfRule>
  </conditionalFormatting>
  <conditionalFormatting sqref="C57 C59:C60">
    <cfRule type="cellIs" dxfId="39" priority="38" operator="greaterThan">
      <formula>0</formula>
    </cfRule>
  </conditionalFormatting>
  <conditionalFormatting sqref="C57 C59:C60">
    <cfRule type="cellIs" dxfId="38" priority="37" operator="lessThan">
      <formula>0</formula>
    </cfRule>
  </conditionalFormatting>
  <conditionalFormatting sqref="C58">
    <cfRule type="cellIs" dxfId="37" priority="36" operator="greaterThan">
      <formula>0</formula>
    </cfRule>
  </conditionalFormatting>
  <conditionalFormatting sqref="C58">
    <cfRule type="cellIs" dxfId="36" priority="35" operator="lessThan">
      <formula>0</formula>
    </cfRule>
  </conditionalFormatting>
  <conditionalFormatting sqref="C63">
    <cfRule type="cellIs" dxfId="35" priority="34" operator="greaterThan">
      <formula>0</formula>
    </cfRule>
  </conditionalFormatting>
  <conditionalFormatting sqref="C63">
    <cfRule type="cellIs" dxfId="34" priority="33" operator="lessThan">
      <formula>0</formula>
    </cfRule>
  </conditionalFormatting>
  <conditionalFormatting sqref="C64:C70 C72">
    <cfRule type="cellIs" dxfId="33" priority="32" operator="greaterThan">
      <formula>0</formula>
    </cfRule>
  </conditionalFormatting>
  <conditionalFormatting sqref="C64:C70 C72">
    <cfRule type="cellIs" dxfId="32" priority="31" operator="lessThan">
      <formula>0</formula>
    </cfRule>
  </conditionalFormatting>
  <conditionalFormatting sqref="C71">
    <cfRule type="cellIs" dxfId="31" priority="30" operator="greaterThan">
      <formula>0</formula>
    </cfRule>
  </conditionalFormatting>
  <conditionalFormatting sqref="C71">
    <cfRule type="cellIs" dxfId="30" priority="29" operator="lessThan">
      <formula>0</formula>
    </cfRule>
  </conditionalFormatting>
  <conditionalFormatting sqref="AA11">
    <cfRule type="cellIs" dxfId="29" priority="28" operator="greaterThan">
      <formula>0</formula>
    </cfRule>
  </conditionalFormatting>
  <conditionalFormatting sqref="AA11">
    <cfRule type="cellIs" dxfId="28" priority="27" operator="lessThan">
      <formula>0</formula>
    </cfRule>
  </conditionalFormatting>
  <conditionalFormatting sqref="AA11">
    <cfRule type="cellIs" dxfId="27" priority="26" operator="greaterThan">
      <formula>0</formula>
    </cfRule>
  </conditionalFormatting>
  <conditionalFormatting sqref="AA11">
    <cfRule type="cellIs" dxfId="26" priority="25" operator="lessThan">
      <formula>0</formula>
    </cfRule>
  </conditionalFormatting>
  <conditionalFormatting sqref="C8:C12">
    <cfRule type="cellIs" dxfId="25" priority="20" operator="greaterThan">
      <formula>0</formula>
    </cfRule>
  </conditionalFormatting>
  <conditionalFormatting sqref="C8:C12">
    <cfRule type="cellIs" dxfId="24" priority="19" operator="lessThan">
      <formula>0</formula>
    </cfRule>
  </conditionalFormatting>
  <conditionalFormatting sqref="C29">
    <cfRule type="cellIs" dxfId="23" priority="9" operator="lessThan">
      <formula>0</formula>
    </cfRule>
  </conditionalFormatting>
  <conditionalFormatting sqref="C31">
    <cfRule type="cellIs" dxfId="22" priority="16" operator="greaterThan">
      <formula>0</formula>
    </cfRule>
  </conditionalFormatting>
  <conditionalFormatting sqref="C31">
    <cfRule type="cellIs" dxfId="21" priority="15" operator="lessThan">
      <formula>0</formula>
    </cfRule>
  </conditionalFormatting>
  <conditionalFormatting sqref="C28:C29">
    <cfRule type="cellIs" dxfId="20" priority="14" operator="greaterThan">
      <formula>0</formula>
    </cfRule>
  </conditionalFormatting>
  <conditionalFormatting sqref="C28:C29">
    <cfRule type="cellIs" dxfId="19" priority="13" operator="lessThan">
      <formula>0</formula>
    </cfRule>
  </conditionalFormatting>
  <conditionalFormatting sqref="C32">
    <cfRule type="cellIs" dxfId="18" priority="12" operator="greaterThan">
      <formula>0</formula>
    </cfRule>
  </conditionalFormatting>
  <conditionalFormatting sqref="C32">
    <cfRule type="cellIs" dxfId="17" priority="11" operator="lessThan">
      <formula>0</formula>
    </cfRule>
  </conditionalFormatting>
  <conditionalFormatting sqref="C29">
    <cfRule type="cellIs" dxfId="16" priority="10" operator="greaterThan">
      <formula>0</formula>
    </cfRule>
  </conditionalFormatting>
  <conditionalFormatting sqref="C35">
    <cfRule type="cellIs" dxfId="15" priority="3" operator="lessThan">
      <formula>0</formula>
    </cfRule>
  </conditionalFormatting>
  <conditionalFormatting sqref="C35">
    <cfRule type="cellIs" dxfId="14" priority="4" operator="greaterThan">
      <formula>0</formula>
    </cfRule>
  </conditionalFormatting>
  <conditionalFormatting sqref="C34">
    <cfRule type="cellIs" dxfId="13" priority="6" operator="greaterThan">
      <formula>0</formula>
    </cfRule>
  </conditionalFormatting>
  <conditionalFormatting sqref="C34">
    <cfRule type="cellIs" dxfId="12" priority="5" operator="lessThan">
      <formula>0</formula>
    </cfRule>
  </conditionalFormatting>
  <conditionalFormatting sqref="C45">
    <cfRule type="cellIs" dxfId="11" priority="2" operator="greaterThan">
      <formula>0</formula>
    </cfRule>
  </conditionalFormatting>
  <conditionalFormatting sqref="C45">
    <cfRule type="cellIs" dxfId="10" priority="1" operator="lessThan">
      <formula>0</formula>
    </cfRule>
  </conditionalFormatting>
  <dataValidations count="1">
    <dataValidation type="list" allowBlank="1" showInputMessage="1" showErrorMessage="1" sqref="D4 D8:D72" xr:uid="{65B7D943-E1FB-4A45-893F-66F815C13CCD}">
      <formula1>Kategoria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>
    <mc:Choice Requires="x14">
      <controls>
        <mc:AlternateContent>
          <mc:Choice Requires="x14">
            <control shapeId="2051" r:id="rId4" name="Button 3">
              <controlPr defaultSize="0" print="0" autoFill="0" autoPict="0" macro="[0]!Dodaj">
                <anchor moveWithCells="1" sizeWithCells="1">
                  <from>
                    <xdr:col>7</xdr:col>
                    <xdr:colOff>175260</xdr:colOff>
                    <xdr:row>2</xdr:row>
                    <xdr:rowOff>7620</xdr:rowOff>
                  </from>
                  <to>
                    <xdr:col>7</xdr:col>
                    <xdr:colOff>762000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uri="{CCE6A557-97BC-4b89-ADB6-D9C93CAAB3DF}">
      <x14:dataValidations xmlns:xm="http://schemas.microsoft.com/office/excel/2006/main" count="3">
        <x14:dataValidation type="list" allowBlank="1" showInputMessage="1" showErrorMessage="1" xr:uid="{FE2CA0B0-6429-4ED2-9581-30817146B58F}">
          <x14:formula1>
            <xm:f>OFFSET(Ustawienia!$C$1,MATCH(D4,ListRob,0),0,COUNTIF(ListRob,D4),1)</xm:f>
          </x14:formula1>
          <xm:sqref>E4 E8:E72</xm:sqref>
        </x14:dataValidation>
        <x14:dataValidation type="list" allowBlank="1" showInputMessage="1" showErrorMessage="1" xr:uid="{5607E08A-2680-4CCC-AB73-260228A5BAC8}">
          <x14:formula1>
            <xm:f>Ustawienia!$D$2:$D$4</xm:f>
          </x14:formula1>
          <xm:sqref>F4 F8:F72</xm:sqref>
        </x14:dataValidation>
        <x14:dataValidation type="list" allowBlank="1" showInputMessage="1" showErrorMessage="1" xr:uid="{06CC7BE4-D039-4762-A9C7-0FD573D2BE87}">
          <x14:formula1>
            <xm:f>Ustawienia!$A$3:$A$46</xm:f>
          </x14:formula1>
          <xm:sqref>D73:E76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9295-5DF7-4046-B033-B37891B9665C}">
  <sheetPr codeName="Arkusz2"/>
  <dimension ref="B1:X83"/>
  <sheetViews>
    <sheetView topLeftCell="A52" workbookViewId="0">
      <selection activeCell="O73" sqref="O73"/>
    </sheetView>
  </sheetViews>
  <sheetFormatPr defaultRowHeight="14.4" x14ac:dyDescent="0.3"/>
  <cols>
    <col min="2" max="2" customWidth="true" width="13.0" collapsed="true"/>
    <col min="3" max="3" customWidth="true" style="45" width="23.33203125" collapsed="true"/>
    <col min="4" max="4" style="18" width="8.88671875" collapsed="true"/>
    <col min="5" max="5" customWidth="true" width="9.6640625" collapsed="true"/>
    <col min="6" max="6" customWidth="true" width="8.5546875" collapsed="true"/>
    <col min="7" max="15" customWidth="true" width="9.44140625" collapsed="true"/>
  </cols>
  <sheetData>
    <row r="1" spans="2:15" ht="31.2" x14ac:dyDescent="0.6">
      <c r="B1" s="9" t="s">
        <v>52</v>
      </c>
      <c r="C1" s="9"/>
    </row>
    <row r="3" spans="2:15" x14ac:dyDescent="0.3">
      <c r="B3" s="64"/>
      <c r="C3" s="64"/>
      <c r="D3" s="26" t="s">
        <v>44</v>
      </c>
      <c r="E3" s="26" t="s">
        <v>45</v>
      </c>
      <c r="F3" s="26" t="s">
        <v>46</v>
      </c>
      <c r="G3" s="26" t="s">
        <v>47</v>
      </c>
      <c r="H3" s="26" t="s">
        <v>48</v>
      </c>
      <c r="I3" s="26" t="s">
        <v>49</v>
      </c>
      <c r="J3" s="26" t="s">
        <v>50</v>
      </c>
      <c r="K3" s="26" t="s">
        <v>16</v>
      </c>
      <c r="L3" s="26" t="s">
        <v>17</v>
      </c>
      <c r="M3" s="26" t="s">
        <v>51</v>
      </c>
      <c r="N3" s="26" t="s">
        <v>18</v>
      </c>
      <c r="O3" s="17" t="s">
        <v>19</v>
      </c>
    </row>
    <row r="4" spans="2:15" x14ac:dyDescent="0.3">
      <c r="B4" s="61" t="s">
        <v>0</v>
      </c>
      <c r="C4" s="61"/>
      <c r="D4" s="27">
        <f>'02.2020'!$K3</f>
        <v>19278.21</v>
      </c>
      <c r="E4" s="27">
        <v>0</v>
      </c>
      <c r="F4" s="27"/>
      <c r="G4" s="27"/>
      <c r="H4" s="27"/>
      <c r="I4" s="27"/>
      <c r="J4" s="27"/>
      <c r="K4" s="27"/>
      <c r="L4" s="27"/>
      <c r="M4" s="27"/>
      <c r="N4" s="27"/>
      <c r="O4" s="27">
        <f>AVERAGE(D4:D4)</f>
        <v>19278.21</v>
      </c>
    </row>
    <row r="5" spans="2:15" x14ac:dyDescent="0.3">
      <c r="B5" s="62" t="s">
        <v>1</v>
      </c>
      <c r="C5" s="62"/>
      <c r="D5" s="27">
        <f>'02.2020'!$K4</f>
        <v>-18605.179999999997</v>
      </c>
      <c r="E5" s="27">
        <v>0</v>
      </c>
      <c r="F5" s="27"/>
      <c r="G5" s="27"/>
      <c r="H5" s="27"/>
      <c r="I5" s="27"/>
      <c r="J5" s="27"/>
      <c r="K5" s="27"/>
      <c r="L5" s="27"/>
      <c r="M5" s="27"/>
      <c r="N5" s="27"/>
      <c r="O5" s="27">
        <f t="shared" ref="O5:O6" si="0">AVERAGE(D5:D5)</f>
        <v>-18605.179999999997</v>
      </c>
    </row>
    <row r="6" spans="2:15" x14ac:dyDescent="0.3">
      <c r="B6" s="63" t="s">
        <v>2</v>
      </c>
      <c r="C6" s="63"/>
      <c r="D6" s="27">
        <f>'02.2020'!$K5</f>
        <v>673.03000000000247</v>
      </c>
      <c r="E6" s="28">
        <v>0</v>
      </c>
      <c r="F6" s="28"/>
      <c r="G6" s="27"/>
      <c r="H6" s="27"/>
      <c r="I6" s="27"/>
      <c r="J6" s="27"/>
      <c r="K6" s="27"/>
      <c r="L6" s="27"/>
      <c r="M6" s="27"/>
      <c r="N6" s="27"/>
      <c r="O6" s="27">
        <f t="shared" si="0"/>
        <v>673.03000000000247</v>
      </c>
    </row>
    <row r="7" spans="2:15" s="45" customFormat="1" x14ac:dyDescent="0.3">
      <c r="B7" s="54"/>
      <c r="C7" s="54"/>
      <c r="D7" s="55"/>
      <c r="E7" s="53"/>
      <c r="F7" s="53"/>
      <c r="G7" s="55"/>
      <c r="H7" s="55"/>
      <c r="I7" s="55"/>
      <c r="J7" s="55"/>
      <c r="K7" s="55"/>
      <c r="L7" s="55"/>
      <c r="M7" s="55"/>
      <c r="N7" s="55"/>
      <c r="O7" s="55"/>
    </row>
    <row r="8" spans="2:15" s="45" customFormat="1" x14ac:dyDescent="0.3">
      <c r="B8" s="65" t="s">
        <v>5</v>
      </c>
      <c r="C8" s="66"/>
      <c r="D8" s="26" t="s">
        <v>44</v>
      </c>
      <c r="E8" s="26" t="s">
        <v>45</v>
      </c>
      <c r="F8" s="26" t="s">
        <v>46</v>
      </c>
      <c r="G8" s="26" t="s">
        <v>47</v>
      </c>
      <c r="H8" s="26" t="s">
        <v>48</v>
      </c>
      <c r="I8" s="26" t="s">
        <v>49</v>
      </c>
      <c r="J8" s="26" t="s">
        <v>50</v>
      </c>
      <c r="K8" s="26" t="s">
        <v>16</v>
      </c>
      <c r="L8" s="26" t="s">
        <v>17</v>
      </c>
      <c r="M8" s="26" t="s">
        <v>51</v>
      </c>
      <c r="N8" s="26" t="s">
        <v>18</v>
      </c>
      <c r="O8" s="17" t="s">
        <v>19</v>
      </c>
    </row>
    <row r="9" spans="2:15" s="45" customFormat="1" x14ac:dyDescent="0.3">
      <c r="B9" s="67" t="str">
        <f>Ustawienia!A2</f>
        <v>Wpływy</v>
      </c>
      <c r="C9" s="68"/>
      <c r="D9" s="28">
        <f>SUMIF('02.2020'!$D$8:$D$73,$B9,'02.2020'!$C$8:$C$73)</f>
        <v>19278.21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>
        <f t="shared" ref="O9:O21" si="1">AVERAGE(D9:D9)</f>
        <v>19278.21</v>
      </c>
    </row>
    <row r="10" spans="2:15" s="45" customFormat="1" x14ac:dyDescent="0.3">
      <c r="B10" s="67" t="str">
        <f>Ustawienia!A3</f>
        <v>Jedzenie</v>
      </c>
      <c r="C10" s="68"/>
      <c r="D10" s="28">
        <f>SUMIF('02.2020'!$D$8:$D$73,$B10,'02.2020'!$C$8:$C$73)</f>
        <v>-473.76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>
        <f t="shared" si="1"/>
        <v>-473.76</v>
      </c>
    </row>
    <row r="11" spans="2:15" s="45" customFormat="1" x14ac:dyDescent="0.3">
      <c r="B11" s="67" t="str">
        <f>Ustawienia!A4</f>
        <v>Transport</v>
      </c>
      <c r="C11" s="68"/>
      <c r="D11" s="28">
        <f>SUMIF('02.2020'!$D$8:$D$73,$B11,'02.2020'!$C$8:$C$73)</f>
        <v>-2691.5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>
        <f t="shared" si="1"/>
        <v>-2691.5</v>
      </c>
    </row>
    <row r="12" spans="2:15" s="45" customFormat="1" x14ac:dyDescent="0.3">
      <c r="B12" s="67" t="str">
        <f>Ustawienia!A5</f>
        <v>Mieszkanie</v>
      </c>
      <c r="C12" s="68"/>
      <c r="D12" s="28">
        <f>SUMIF('02.2020'!$D$8:$D$73,$B12,'02.2020'!$C$8:$C$73)</f>
        <v>-6849.98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>
        <f t="shared" si="1"/>
        <v>-6849.98</v>
      </c>
    </row>
    <row r="13" spans="2:15" s="45" customFormat="1" x14ac:dyDescent="0.3">
      <c r="B13" s="67" t="str">
        <f>Ustawienia!A6</f>
        <v>Zdrowie</v>
      </c>
      <c r="C13" s="68"/>
      <c r="D13" s="28">
        <f>SUMIF('02.2020'!$D$8:$D$73,$B13,'02.2020'!$C$8:$C$73)</f>
        <v>-823.94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>
        <f t="shared" si="1"/>
        <v>-823.94</v>
      </c>
    </row>
    <row r="14" spans="2:15" s="45" customFormat="1" x14ac:dyDescent="0.3">
      <c r="B14" s="67" t="str">
        <f>Ustawienia!A7</f>
        <v>Higiena</v>
      </c>
      <c r="C14" s="68"/>
      <c r="D14" s="28">
        <f>SUMIF('02.2020'!$D$8:$D$73,$B14,'02.2020'!$C$8:$C$73)</f>
        <v>-105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>
        <f t="shared" si="1"/>
        <v>-105</v>
      </c>
    </row>
    <row r="15" spans="2:15" s="45" customFormat="1" x14ac:dyDescent="0.3">
      <c r="B15" s="67" t="str">
        <f>Ustawienia!A8</f>
        <v>Ubiór</v>
      </c>
      <c r="C15" s="68"/>
      <c r="D15" s="28">
        <f>SUMIF('02.2020'!$D$8:$D$73,$B15,'02.2020'!$C$8:$C$73)</f>
        <v>0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>
        <f t="shared" si="1"/>
        <v>0</v>
      </c>
    </row>
    <row r="16" spans="2:15" s="45" customFormat="1" x14ac:dyDescent="0.3">
      <c r="B16" s="67" t="str">
        <f>Ustawienia!A9</f>
        <v>Rozrywka</v>
      </c>
      <c r="C16" s="68"/>
      <c r="D16" s="28">
        <f>SUMIF('02.2020'!$D$8:$D$73,$B16,'02.2020'!$C$8:$C$73)</f>
        <v>-24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>
        <f t="shared" si="1"/>
        <v>-24</v>
      </c>
    </row>
    <row r="17" spans="2:15" s="45" customFormat="1" ht="13.95" customHeight="1" x14ac:dyDescent="0.3">
      <c r="B17" s="67" t="str">
        <f>Ustawienia!A10</f>
        <v>Fundusze</v>
      </c>
      <c r="C17" s="68"/>
      <c r="D17" s="28">
        <f>SUMIF('02.2020'!$D$8:$D$73,$B17,'02.2020'!$C$8:$C$73)</f>
        <v>-2565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>
        <f t="shared" si="1"/>
        <v>-2565</v>
      </c>
    </row>
    <row r="18" spans="2:15" s="45" customFormat="1" ht="13.95" customHeight="1" x14ac:dyDescent="0.3">
      <c r="B18" s="67" t="str">
        <f>Ustawienia!A11</f>
        <v>Dziesięcina</v>
      </c>
      <c r="C18" s="68"/>
      <c r="D18" s="28">
        <f>SUMIF('02.2020'!$D$8:$D$73,$B18,'02.2020'!$C$8:$C$73)</f>
        <v>-652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>
        <f t="shared" si="1"/>
        <v>-652</v>
      </c>
    </row>
    <row r="19" spans="2:15" s="45" customFormat="1" ht="13.95" customHeight="1" x14ac:dyDescent="0.3">
      <c r="B19" s="67" t="str">
        <f>Ustawienia!A12</f>
        <v>Pożyczka</v>
      </c>
      <c r="C19" s="68"/>
      <c r="D19" s="28">
        <f>SUMIF('02.2020'!$D$8:$D$73,$B19,'02.2020'!$C$8:$C$73)</f>
        <v>-4400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>
        <f t="shared" si="1"/>
        <v>-4400</v>
      </c>
    </row>
    <row r="20" spans="2:15" s="45" customFormat="1" ht="13.95" customHeight="1" x14ac:dyDescent="0.3">
      <c r="B20" s="67" t="str">
        <f>Ustawienia!A13</f>
        <v>Prezenty</v>
      </c>
      <c r="C20" s="68"/>
      <c r="D20" s="28">
        <f>SUMIF('02.2020'!$D$8:$D$73,$B20,'02.2020'!$C$8:$C$73)</f>
        <v>-20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>
        <f t="shared" ref="O20" si="2">AVERAGE(D20:D20)</f>
        <v>-20</v>
      </c>
    </row>
    <row r="21" spans="2:15" s="45" customFormat="1" ht="13.95" customHeight="1" x14ac:dyDescent="0.3">
      <c r="B21" s="67" t="str">
        <f>Ustawienia!A14</f>
        <v>Inne</v>
      </c>
      <c r="C21" s="68"/>
      <c r="D21" s="28">
        <f>SUMIF('02.2020'!$D$8:$D$73,$B21,'02.2020'!$C$8:$C$73)</f>
        <v>0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>
        <f t="shared" si="1"/>
        <v>0</v>
      </c>
    </row>
    <row r="22" spans="2:15" x14ac:dyDescent="0.3">
      <c r="B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spans="2:15" x14ac:dyDescent="0.3">
      <c r="B23" s="16" t="s">
        <v>5</v>
      </c>
      <c r="C23" s="16" t="s">
        <v>53</v>
      </c>
      <c r="D23" s="26" t="s">
        <v>44</v>
      </c>
      <c r="E23" s="26" t="s">
        <v>45</v>
      </c>
      <c r="F23" s="26" t="s">
        <v>46</v>
      </c>
      <c r="G23" s="26" t="s">
        <v>47</v>
      </c>
      <c r="H23" s="26" t="s">
        <v>48</v>
      </c>
      <c r="I23" s="26" t="s">
        <v>49</v>
      </c>
      <c r="J23" s="26" t="s">
        <v>50</v>
      </c>
      <c r="K23" s="26" t="s">
        <v>16</v>
      </c>
      <c r="L23" s="26" t="s">
        <v>17</v>
      </c>
      <c r="M23" s="26" t="s">
        <v>51</v>
      </c>
      <c r="N23" s="26" t="s">
        <v>18</v>
      </c>
      <c r="O23" s="17" t="s">
        <v>19</v>
      </c>
    </row>
    <row r="24" spans="2:15" x14ac:dyDescent="0.3">
      <c r="B24" s="15" t="str">
        <f>Ustawienia!B2</f>
        <v>Wpływy</v>
      </c>
      <c r="C24" s="15" t="str">
        <f>Ustawienia!C2</f>
        <v>Pensja Michał</v>
      </c>
      <c r="D24" s="28">
        <f>SUMIFS('02.2020'!$C$8:$C$73,'02.2020'!$D$8:$D$73,$B24,'02.2020'!$E$8:$E$73,$C24)</f>
        <v>9020.39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>
        <f>AVERAGE(D24:D24)</f>
        <v>9020.39</v>
      </c>
    </row>
    <row r="25" spans="2:15" x14ac:dyDescent="0.3">
      <c r="B25" s="15" t="str">
        <f>Ustawienia!B3</f>
        <v>Wpływy</v>
      </c>
      <c r="C25" s="15" t="str">
        <f>Ustawienia!C3</f>
        <v>Pensja Basia</v>
      </c>
      <c r="D25" s="28">
        <f>SUMIFS('02.2020'!$C$8:$C$73,'02.2020'!$D$8:$D$73,$B25,'02.2020'!$E$8:$E$73,$C25)</f>
        <v>7685.65</v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>
        <f t="shared" ref="O25:O56" si="3">AVERAGE(D25:D25)</f>
        <v>7685.65</v>
      </c>
    </row>
    <row r="26" spans="2:15" x14ac:dyDescent="0.3">
      <c r="B26" s="15" t="str">
        <f>Ustawienia!B4</f>
        <v>Wpływy</v>
      </c>
      <c r="C26" s="15" t="str">
        <f>Ustawienia!C4</f>
        <v>Prezenty</v>
      </c>
      <c r="D26" s="28">
        <f>SUMIFS('02.2020'!$C$8:$C$73,'02.2020'!$D$8:$D$73,$B26,'02.2020'!$E$8:$E$73,$C26)</f>
        <v>500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>
        <f t="shared" si="3"/>
        <v>500</v>
      </c>
    </row>
    <row r="27" spans="2:15" x14ac:dyDescent="0.3">
      <c r="B27" s="15" t="str">
        <f>Ustawienia!B5</f>
        <v>Wpływy</v>
      </c>
      <c r="C27" s="15" t="str">
        <f>Ustawienia!C5</f>
        <v>Z oszczędności</v>
      </c>
      <c r="D27" s="28">
        <f>SUMIFS('02.2020'!$C$8:$C$73,'02.2020'!$D$8:$D$73,$B27,'02.2020'!$E$8:$E$73,$C27)</f>
        <v>1000.35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>
        <f t="shared" si="3"/>
        <v>1000.35</v>
      </c>
    </row>
    <row r="28" spans="2:15" x14ac:dyDescent="0.3">
      <c r="B28" s="15" t="str">
        <f>Ustawienia!B6</f>
        <v>Wpływy</v>
      </c>
      <c r="C28" s="15" t="str">
        <f>Ustawienia!C6</f>
        <v>Z poprzedniego miesiąca</v>
      </c>
      <c r="D28" s="28">
        <f>SUMIFS('02.2020'!$C$8:$C$73,'02.2020'!$D$8:$D$73,$B28,'02.2020'!$E$8:$E$73,$C28)</f>
        <v>1026.82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>
        <f t="shared" si="3"/>
        <v>1026.82</v>
      </c>
    </row>
    <row r="29" spans="2:15" x14ac:dyDescent="0.3">
      <c r="B29" s="15" t="str">
        <f>Ustawienia!B7</f>
        <v>Wpływy</v>
      </c>
      <c r="C29" s="15" t="str">
        <f>Ustawienia!C7</f>
        <v>Oddana pożyczka</v>
      </c>
      <c r="D29" s="28">
        <f>SUMIFS('02.2020'!$C$8:$C$73,'02.2020'!$D$8:$D$73,$B29,'02.2020'!$E$8:$E$73,$C29)</f>
        <v>45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>
        <f t="shared" si="3"/>
        <v>45</v>
      </c>
    </row>
    <row r="30" spans="2:15" x14ac:dyDescent="0.3">
      <c r="B30" s="15" t="str">
        <f>Ustawienia!B8</f>
        <v>Jedzenie</v>
      </c>
      <c r="C30" s="15" t="str">
        <f>Ustawienia!C8</f>
        <v>Dom</v>
      </c>
      <c r="D30" s="28">
        <f>SUMIFS('02.2020'!$C$8:$C$73,'02.2020'!$D$8:$D$73,$B30,'02.2020'!$E$8:$E$73,$C30)</f>
        <v>-337.90999999999997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>
        <f t="shared" si="3"/>
        <v>-337.90999999999997</v>
      </c>
    </row>
    <row r="31" spans="2:15" x14ac:dyDescent="0.3">
      <c r="B31" s="15" t="str">
        <f>Ustawienia!B9</f>
        <v>Jedzenie</v>
      </c>
      <c r="C31" s="15" t="str">
        <f>Ustawienia!C9</f>
        <v>Praca</v>
      </c>
      <c r="D31" s="28">
        <f>SUMIFS('02.2020'!$C$8:$C$73,'02.2020'!$D$8:$D$73,$B31,'02.2020'!$E$8:$E$73,$C31)</f>
        <v>-38.950000000000003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>
        <f t="shared" si="3"/>
        <v>-38.950000000000003</v>
      </c>
    </row>
    <row r="32" spans="2:15" x14ac:dyDescent="0.3">
      <c r="B32" s="15" t="str">
        <f>Ustawienia!B10</f>
        <v>Jedzenie</v>
      </c>
      <c r="C32" s="15" t="str">
        <f>Ustawienia!C10</f>
        <v>Miasto</v>
      </c>
      <c r="D32" s="28">
        <f>SUMIFS('02.2020'!$C$8:$C$73,'02.2020'!$D$8:$D$73,$B32,'02.2020'!$E$8:$E$73,$C32)</f>
        <v>-96.9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>
        <f t="shared" si="3"/>
        <v>-96.9</v>
      </c>
    </row>
    <row r="33" spans="2:17" x14ac:dyDescent="0.3">
      <c r="B33" s="15" t="str">
        <f>Ustawienia!B11</f>
        <v>Transport</v>
      </c>
      <c r="C33" s="15" t="str">
        <f>Ustawienia!C11</f>
        <v>Paliwo</v>
      </c>
      <c r="D33" s="28">
        <f>SUMIFS('02.2020'!$C$8:$C$73,'02.2020'!$D$8:$D$73,$B33,'02.2020'!$E$8:$E$73,$C33)</f>
        <v>0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>
        <f t="shared" si="3"/>
        <v>0</v>
      </c>
    </row>
    <row r="34" spans="2:17" x14ac:dyDescent="0.3">
      <c r="B34" s="15" t="str">
        <f>Ustawienia!B12</f>
        <v>Transport</v>
      </c>
      <c r="C34" s="15" t="str">
        <f>Ustawienia!C12</f>
        <v>Myjnia</v>
      </c>
      <c r="D34" s="28">
        <f>SUMIFS('02.2020'!$C$8:$C$73,'02.2020'!$D$8:$D$73,$B34,'02.2020'!$E$8:$E$73,$C34)</f>
        <v>-28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>
        <f t="shared" si="3"/>
        <v>-28</v>
      </c>
    </row>
    <row r="35" spans="2:17" x14ac:dyDescent="0.3">
      <c r="B35" s="15" t="str">
        <f>Ustawienia!B13</f>
        <v>Transport</v>
      </c>
      <c r="C35" s="15" t="str">
        <f>Ustawienia!C13</f>
        <v>Przeglądy</v>
      </c>
      <c r="D35" s="28">
        <f>SUMIFS('02.2020'!$C$8:$C$73,'02.2020'!$D$8:$D$73,$B35,'02.2020'!$E$8:$E$73,$C35)</f>
        <v>-21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>
        <f t="shared" si="3"/>
        <v>-21</v>
      </c>
    </row>
    <row r="36" spans="2:17" x14ac:dyDescent="0.3">
      <c r="B36" s="15" t="str">
        <f>Ustawienia!B14</f>
        <v>Transport</v>
      </c>
      <c r="C36" s="15" t="str">
        <f>Ustawienia!C14</f>
        <v>Naprawy</v>
      </c>
      <c r="D36" s="28">
        <f>SUMIFS('02.2020'!$C$8:$C$73,'02.2020'!$D$8:$D$73,$B36,'02.2020'!$E$8:$E$73,$C36)</f>
        <v>-1450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>
        <f t="shared" si="3"/>
        <v>-1450</v>
      </c>
    </row>
    <row r="37" spans="2:17" x14ac:dyDescent="0.3">
      <c r="B37" s="15" t="str">
        <f>Ustawienia!B15</f>
        <v>Transport</v>
      </c>
      <c r="C37" s="15" t="str">
        <f>Ustawienia!C15</f>
        <v>Wyposażenie</v>
      </c>
      <c r="D37" s="28">
        <f>SUMIFS('02.2020'!$C$8:$C$73,'02.2020'!$D$8:$D$73,$B37,'02.2020'!$E$8:$E$73,$C37)</f>
        <v>0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>
        <f t="shared" si="3"/>
        <v>0</v>
      </c>
    </row>
    <row r="38" spans="2:17" x14ac:dyDescent="0.3">
      <c r="B38" s="15" t="str">
        <f>Ustawienia!B16</f>
        <v>Transport</v>
      </c>
      <c r="C38" s="15" t="str">
        <f>Ustawienia!C16</f>
        <v>Ubezpieczenie</v>
      </c>
      <c r="D38" s="28">
        <f>SUMIFS('02.2020'!$C$8:$C$73,'02.2020'!$D$8:$D$73,$B38,'02.2020'!$E$8:$E$73,$C38)</f>
        <v>0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>
        <f t="shared" si="3"/>
        <v>0</v>
      </c>
    </row>
    <row r="39" spans="2:17" x14ac:dyDescent="0.3">
      <c r="B39" s="15" t="str">
        <f>Ustawienia!B18</f>
        <v>Transport</v>
      </c>
      <c r="C39" s="15" t="str">
        <f>Ustawienia!C18</f>
        <v>Bilety MPK</v>
      </c>
      <c r="D39" s="28">
        <f>SUMIFS('02.2020'!$C$8:$C$73,'02.2020'!$D$8:$D$73,$B39,'02.2020'!$E$8:$E$73,$C39)</f>
        <v>-1110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>
        <f t="shared" si="3"/>
        <v>-1110</v>
      </c>
      <c r="Q39" t="s">
        <v>20</v>
      </c>
    </row>
    <row r="40" spans="2:17" x14ac:dyDescent="0.3">
      <c r="B40" s="15" t="str">
        <f>Ustawienia!B19</f>
        <v>Transport</v>
      </c>
      <c r="C40" s="15" t="str">
        <f>Ustawienia!C19</f>
        <v>Bilety PKP</v>
      </c>
      <c r="D40" s="28">
        <f>SUMIFS('02.2020'!$C$8:$C$73,'02.2020'!$D$8:$D$73,$B40,'02.2020'!$E$8:$E$73,$C40)</f>
        <v>0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>
        <f t="shared" si="3"/>
        <v>0</v>
      </c>
    </row>
    <row r="41" spans="2:17" x14ac:dyDescent="0.3">
      <c r="B41" s="15" t="str">
        <f>Ustawienia!B20</f>
        <v>Mieszkanie</v>
      </c>
      <c r="C41" s="15" t="str">
        <f>Ustawienia!C20</f>
        <v>Czynsz</v>
      </c>
      <c r="D41" s="28">
        <f>SUMIFS('02.2020'!$C$8:$C$73,'02.2020'!$D$8:$D$73,$B41,'02.2020'!$E$8:$E$73,$C41)</f>
        <v>-2445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>
        <f t="shared" si="3"/>
        <v>-2445</v>
      </c>
    </row>
    <row r="42" spans="2:17" x14ac:dyDescent="0.3">
      <c r="B42" s="15" t="str">
        <f>Ustawienia!B21</f>
        <v>Mieszkanie</v>
      </c>
      <c r="C42" s="15" t="str">
        <f>Ustawienia!C21</f>
        <v>Prąd</v>
      </c>
      <c r="D42" s="28">
        <f>SUMIFS('02.2020'!$C$8:$C$73,'02.2020'!$D$8:$D$73,$B42,'02.2020'!$E$8:$E$73,$C42)</f>
        <v>0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>
        <f t="shared" si="3"/>
        <v>0</v>
      </c>
    </row>
    <row r="43" spans="2:17" x14ac:dyDescent="0.3">
      <c r="B43" s="15" t="str">
        <f>Ustawienia!B22</f>
        <v>Mieszkanie</v>
      </c>
      <c r="C43" s="15" t="str">
        <f>Ustawienia!C22</f>
        <v>Woda</v>
      </c>
      <c r="D43" s="28">
        <f>SUMIFS('02.2020'!$C$8:$C$73,'02.2020'!$D$8:$D$73,$B43,'02.2020'!$E$8:$E$73,$C43)</f>
        <v>0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>
        <f t="shared" si="3"/>
        <v>0</v>
      </c>
    </row>
    <row r="44" spans="2:17" x14ac:dyDescent="0.3">
      <c r="B44" s="15" t="str">
        <f>Ustawienia!B23</f>
        <v>Mieszkanie</v>
      </c>
      <c r="C44" s="15" t="str">
        <f>Ustawienia!C23</f>
        <v>Gaz</v>
      </c>
      <c r="D44" s="28">
        <f>SUMIFS('02.2020'!$C$8:$C$73,'02.2020'!$D$8:$D$73,$B44,'02.2020'!$E$8:$E$73,$C44)</f>
        <v>0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>
        <f t="shared" si="3"/>
        <v>0</v>
      </c>
    </row>
    <row r="45" spans="2:17" x14ac:dyDescent="0.3">
      <c r="B45" s="15" t="str">
        <f>Ustawienia!B24</f>
        <v>Mieszkanie</v>
      </c>
      <c r="C45" s="15" t="str">
        <f>Ustawienia!C24</f>
        <v>Naprawy</v>
      </c>
      <c r="D45" s="28">
        <f>SUMIFS('02.2020'!$C$8:$C$73,'02.2020'!$D$8:$D$73,$B45,'02.2020'!$E$8:$E$73,$C45)</f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>
        <f t="shared" si="3"/>
        <v>0</v>
      </c>
    </row>
    <row r="46" spans="2:17" x14ac:dyDescent="0.3">
      <c r="B46" s="15" t="str">
        <f>Ustawienia!B25</f>
        <v>Mieszkanie</v>
      </c>
      <c r="C46" s="15" t="str">
        <f>Ustawienia!C25</f>
        <v>Sprzęt</v>
      </c>
      <c r="D46" s="28">
        <f>SUMIFS('02.2020'!$C$8:$C$73,'02.2020'!$D$8:$D$73,$B46,'02.2020'!$E$8:$E$73,$C46)</f>
        <v>-17.98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>
        <f t="shared" si="3"/>
        <v>-17.98</v>
      </c>
    </row>
    <row r="47" spans="2:17" x14ac:dyDescent="0.3">
      <c r="B47" s="15" t="str">
        <f>Ustawienia!B26</f>
        <v>Mieszkanie</v>
      </c>
      <c r="C47" s="15" t="str">
        <f>Ustawienia!C26</f>
        <v>Kupno</v>
      </c>
      <c r="D47" s="28">
        <f>SUMIFS('02.2020'!$C$8:$C$73,'02.2020'!$D$8:$D$73,$B47,'02.2020'!$E$8:$E$73,$C47)</f>
        <v>-4387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>
        <f t="shared" si="3"/>
        <v>-4387</v>
      </c>
    </row>
    <row r="48" spans="2:17" x14ac:dyDescent="0.3">
      <c r="B48" s="15" t="str">
        <f>Ustawienia!B27</f>
        <v>Zdrowie</v>
      </c>
      <c r="C48" s="15" t="str">
        <f>Ustawienia!C27</f>
        <v>Lekarstwa</v>
      </c>
      <c r="D48" s="28">
        <f>SUMIFS('02.2020'!$C$8:$C$73,'02.2020'!$D$8:$D$73,$B48,'02.2020'!$E$8:$E$73,$C48)</f>
        <v>-450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>
        <f t="shared" si="3"/>
        <v>-450</v>
      </c>
    </row>
    <row r="49" spans="2:24" x14ac:dyDescent="0.3">
      <c r="B49" s="15" t="str">
        <f>Ustawienia!B28</f>
        <v>Zdrowie</v>
      </c>
      <c r="C49" s="15" t="str">
        <f>Ustawienia!C28</f>
        <v>Suplementy</v>
      </c>
      <c r="D49" s="28">
        <f>SUMIFS('02.2020'!$C$8:$C$73,'02.2020'!$D$8:$D$73,$B49,'02.2020'!$E$8:$E$73,$C49)</f>
        <v>-33.94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>
        <f t="shared" si="3"/>
        <v>-33.94</v>
      </c>
    </row>
    <row r="50" spans="2:24" x14ac:dyDescent="0.3">
      <c r="B50" s="15" t="str">
        <f>Ustawienia!B29</f>
        <v>Zdrowie</v>
      </c>
      <c r="C50" s="15" t="str">
        <f>Ustawienia!C29</f>
        <v>Lekarz</v>
      </c>
      <c r="D50" s="28">
        <f>SUMIFS('02.2020'!$C$8:$C$73,'02.2020'!$D$8:$D$73,$B50,'02.2020'!$E$8:$E$73,$C50)</f>
        <v>-340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>
        <f t="shared" si="3"/>
        <v>-340</v>
      </c>
    </row>
    <row r="51" spans="2:24" x14ac:dyDescent="0.3">
      <c r="B51" s="15" t="str">
        <f>Ustawienia!B30</f>
        <v>Zdrowie</v>
      </c>
      <c r="C51" s="15" t="str">
        <f>Ustawienia!C30</f>
        <v>Dentysta</v>
      </c>
      <c r="D51" s="28">
        <f>SUMIFS('02.2020'!$C$8:$C$73,'02.2020'!$D$8:$D$73,$B51,'02.2020'!$E$8:$E$73,$C51)</f>
        <v>0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>
        <f t="shared" si="3"/>
        <v>0</v>
      </c>
    </row>
    <row r="52" spans="2:24" x14ac:dyDescent="0.3">
      <c r="B52" s="15" t="str">
        <f>Ustawienia!B31</f>
        <v>Higiena</v>
      </c>
      <c r="C52" s="15" t="str">
        <f>Ustawienia!C31</f>
        <v>Kosmetyki Michał</v>
      </c>
      <c r="D52" s="28">
        <f>SUMIFS('02.2020'!$C$8:$C$73,'02.2020'!$D$8:$D$73,$B52,'02.2020'!$E$8:$E$73,$C52)</f>
        <v>0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>
        <f t="shared" si="3"/>
        <v>0</v>
      </c>
    </row>
    <row r="53" spans="2:24" x14ac:dyDescent="0.3">
      <c r="B53" s="15" t="str">
        <f>Ustawienia!B32</f>
        <v>Higiena</v>
      </c>
      <c r="C53" s="15" t="str">
        <f>Ustawienia!C32</f>
        <v>Kosmetyki Basia</v>
      </c>
      <c r="D53" s="28">
        <f>SUMIFS('02.2020'!$C$8:$C$73,'02.2020'!$D$8:$D$73,$B53,'02.2020'!$E$8:$E$73,$C53)</f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>
        <f t="shared" si="3"/>
        <v>0</v>
      </c>
    </row>
    <row r="54" spans="2:24" x14ac:dyDescent="0.3">
      <c r="B54" s="15" t="str">
        <f>Ustawienia!B33</f>
        <v>Higiena</v>
      </c>
      <c r="C54" s="15" t="str">
        <f>Ustawienia!C33</f>
        <v>Fryzjer Michał</v>
      </c>
      <c r="D54" s="28">
        <f>SUMIFS('02.2020'!$C$8:$C$73,'02.2020'!$D$8:$D$73,$B54,'02.2020'!$E$8:$E$73,$C54)</f>
        <v>-25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>
        <f t="shared" si="3"/>
        <v>-25</v>
      </c>
    </row>
    <row r="55" spans="2:24" x14ac:dyDescent="0.3">
      <c r="B55" s="15" t="str">
        <f>Ustawienia!B34</f>
        <v>Higiena</v>
      </c>
      <c r="C55" s="15" t="str">
        <f>Ustawienia!C34</f>
        <v>Fryzjer Basia</v>
      </c>
      <c r="D55" s="28">
        <f>SUMIFS('02.2020'!$C$8:$C$73,'02.2020'!$D$8:$D$73,$B55,'02.2020'!$E$8:$E$73,$C55)</f>
        <v>0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>
        <f t="shared" si="3"/>
        <v>0</v>
      </c>
    </row>
    <row r="56" spans="2:24" x14ac:dyDescent="0.3">
      <c r="B56" s="15" t="str">
        <f>Ustawienia!B36</f>
        <v>Higiena</v>
      </c>
      <c r="C56" s="15" t="str">
        <f>Ustawienia!C36</f>
        <v>Środki czystości</v>
      </c>
      <c r="D56" s="28">
        <f>SUMIFS('02.2020'!$C$8:$C$73,'02.2020'!$D$8:$D$73,$B56,'02.2020'!$E$8:$E$73,$C56)</f>
        <v>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>
        <f t="shared" si="3"/>
        <v>0</v>
      </c>
      <c r="X56" t="s">
        <v>21</v>
      </c>
    </row>
    <row r="57" spans="2:24" s="45" customFormat="1" x14ac:dyDescent="0.3">
      <c r="B57" s="15" t="str">
        <f>Ustawienia!B37</f>
        <v>Ubiór</v>
      </c>
      <c r="C57" s="15" t="str">
        <f>Ustawienia!C37</f>
        <v>Ubranie Michał</v>
      </c>
      <c r="D57" s="28">
        <f>SUMIFS('02.2020'!$C$8:$C$73,'02.2020'!$D$8:$D$73,$B57,'02.2020'!$E$8:$E$73,$C57)</f>
        <v>0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>
        <f t="shared" ref="O57:O64" si="4">AVERAGE(D57:D57)</f>
        <v>0</v>
      </c>
    </row>
    <row r="58" spans="2:24" s="45" customFormat="1" x14ac:dyDescent="0.3">
      <c r="B58" s="15" t="str">
        <f>Ustawienia!B38</f>
        <v>Ubiór</v>
      </c>
      <c r="C58" s="15" t="str">
        <f>Ustawienia!C38</f>
        <v>Ubranie Basia</v>
      </c>
      <c r="D58" s="28">
        <f>SUMIFS('02.2020'!$C$8:$C$73,'02.2020'!$D$8:$D$73,$B58,'02.2020'!$E$8:$E$73,$C58)</f>
        <v>0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>
        <f t="shared" si="4"/>
        <v>0</v>
      </c>
    </row>
    <row r="59" spans="2:24" s="45" customFormat="1" x14ac:dyDescent="0.3">
      <c r="B59" s="15" t="str">
        <f>Ustawienia!B39</f>
        <v>Ubiór</v>
      </c>
      <c r="C59" s="15" t="str">
        <f>Ustawienia!C39</f>
        <v>Buty Michał</v>
      </c>
      <c r="D59" s="28">
        <f>SUMIFS('02.2020'!$C$8:$C$73,'02.2020'!$D$8:$D$73,$B59,'02.2020'!$E$8:$E$73,$C59)</f>
        <v>0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>
        <f t="shared" si="4"/>
        <v>0</v>
      </c>
    </row>
    <row r="60" spans="2:24" s="45" customFormat="1" x14ac:dyDescent="0.3">
      <c r="B60" s="15" t="str">
        <f>Ustawienia!B40</f>
        <v>Ubiór</v>
      </c>
      <c r="C60" s="15" t="str">
        <f>Ustawienia!C40</f>
        <v>Buty Basia</v>
      </c>
      <c r="D60" s="28">
        <f>SUMIFS('02.2020'!$C$8:$C$73,'02.2020'!$D$8:$D$73,$B60,'02.2020'!$E$8:$E$73,$C60)</f>
        <v>0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>
        <f t="shared" si="4"/>
        <v>0</v>
      </c>
    </row>
    <row r="61" spans="2:24" s="45" customFormat="1" x14ac:dyDescent="0.3">
      <c r="B61" s="15" t="str">
        <f>Ustawienia!B41</f>
        <v>Ubiór</v>
      </c>
      <c r="C61" s="15" t="str">
        <f>Ustawienia!C41</f>
        <v>Dodatki Michał</v>
      </c>
      <c r="D61" s="28">
        <f>SUMIFS('02.2020'!$C$8:$C$73,'02.2020'!$D$8:$D$73,$B61,'02.2020'!$E$8:$E$73,$C61)</f>
        <v>0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>
        <f t="shared" si="4"/>
        <v>0</v>
      </c>
    </row>
    <row r="62" spans="2:24" s="45" customFormat="1" x14ac:dyDescent="0.3">
      <c r="B62" s="15" t="str">
        <f>Ustawienia!B42</f>
        <v>Ubiór</v>
      </c>
      <c r="C62" s="15" t="str">
        <f>Ustawienia!C42</f>
        <v>Dodatki Basia</v>
      </c>
      <c r="D62" s="28">
        <f>SUMIFS('02.2020'!$C$8:$C$73,'02.2020'!$D$8:$D$73,$B62,'02.2020'!$E$8:$E$73,$C62)</f>
        <v>0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>
        <f t="shared" si="4"/>
        <v>0</v>
      </c>
    </row>
    <row r="63" spans="2:24" s="45" customFormat="1" x14ac:dyDescent="0.3">
      <c r="B63" s="15" t="str">
        <f>Ustawienia!B43</f>
        <v>Rozrywka</v>
      </c>
      <c r="C63" s="15" t="str">
        <f>Ustawienia!C43</f>
        <v>Gry</v>
      </c>
      <c r="D63" s="28">
        <f>SUMIFS('02.2020'!$C$8:$C$73,'02.2020'!$D$8:$D$73,$B63,'02.2020'!$E$8:$E$73,$C63)</f>
        <v>0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>
        <f t="shared" si="4"/>
        <v>0</v>
      </c>
    </row>
    <row r="64" spans="2:24" s="45" customFormat="1" x14ac:dyDescent="0.3">
      <c r="B64" s="15" t="str">
        <f>Ustawienia!B44</f>
        <v>Rozrywka</v>
      </c>
      <c r="C64" s="15" t="str">
        <f>Ustawienia!C44</f>
        <v>Książki</v>
      </c>
      <c r="D64" s="28">
        <f>SUMIFS('02.2020'!$C$8:$C$73,'02.2020'!$D$8:$D$73,$B64,'02.2020'!$E$8:$E$73,$C64)</f>
        <v>-15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>
        <f t="shared" si="4"/>
        <v>-15</v>
      </c>
    </row>
    <row r="65" spans="2:15" s="45" customFormat="1" x14ac:dyDescent="0.3">
      <c r="B65" s="15" t="str">
        <f>Ustawienia!B45</f>
        <v>Rozrywka</v>
      </c>
      <c r="C65" s="15" t="str">
        <f>Ustawienia!C45</f>
        <v>Kino</v>
      </c>
      <c r="D65" s="28">
        <f>SUMIFS('02.2020'!$C$8:$C$73,'02.2020'!$D$8:$D$73,$B65,'02.2020'!$E$8:$E$73,$C65)</f>
        <v>0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>
        <f t="shared" ref="O65:O76" si="5">AVERAGE(D65:D65)</f>
        <v>0</v>
      </c>
    </row>
    <row r="66" spans="2:15" s="45" customFormat="1" x14ac:dyDescent="0.3">
      <c r="B66" s="15" t="str">
        <f>Ustawienia!B47</f>
        <v>Fundusze</v>
      </c>
      <c r="C66" s="15" t="str">
        <f>Ustawienia!C47</f>
        <v>Auto naprawy</v>
      </c>
      <c r="D66" s="28">
        <f>SUMIFS('02.2020'!$C$8:$C$73,'02.2020'!$D$8:$D$73,$B66,'02.2020'!$E$8:$E$73,$C66)</f>
        <v>-300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>
        <f t="shared" si="5"/>
        <v>-300</v>
      </c>
    </row>
    <row r="67" spans="2:15" s="45" customFormat="1" x14ac:dyDescent="0.3">
      <c r="B67" s="15" t="str">
        <f>Ustawienia!B48</f>
        <v>Fundusze</v>
      </c>
      <c r="C67" s="15" t="str">
        <f>Ustawienia!C48</f>
        <v>Auto nowe</v>
      </c>
      <c r="D67" s="28">
        <f>SUMIFS('02.2020'!$C$8:$C$73,'02.2020'!$D$8:$D$73,$B67,'02.2020'!$E$8:$E$73,$C67)</f>
        <v>-1000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>
        <f t="shared" si="5"/>
        <v>-1000</v>
      </c>
    </row>
    <row r="68" spans="2:15" s="45" customFormat="1" x14ac:dyDescent="0.3">
      <c r="B68" s="15" t="str">
        <f>Ustawienia!B49</f>
        <v>Fundusze</v>
      </c>
      <c r="C68" s="15" t="str">
        <f>Ustawienia!C49</f>
        <v>Auto opłaty</v>
      </c>
      <c r="D68" s="28">
        <f>SUMIFS('02.2020'!$C$8:$C$73,'02.2020'!$D$8:$D$73,$B68,'02.2020'!$E$8:$E$73,$C68)</f>
        <v>-100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>
        <f t="shared" si="5"/>
        <v>-100</v>
      </c>
    </row>
    <row r="69" spans="2:15" s="45" customFormat="1" x14ac:dyDescent="0.3">
      <c r="B69" s="15" t="str">
        <f>Ustawienia!B50</f>
        <v>Fundusze</v>
      </c>
      <c r="C69" s="15" t="str">
        <f>Ustawienia!C50</f>
        <v>Bilet MPK</v>
      </c>
      <c r="D69" s="28">
        <f>SUMIFS('02.2020'!$C$8:$C$73,'02.2020'!$D$8:$D$73,$B69,'02.2020'!$E$8:$E$73,$C69)</f>
        <v>-140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>
        <f t="shared" si="5"/>
        <v>-140</v>
      </c>
    </row>
    <row r="70" spans="2:15" s="45" customFormat="1" x14ac:dyDescent="0.3">
      <c r="B70" s="15" t="str">
        <f>Ustawienia!B51</f>
        <v>Fundusze</v>
      </c>
      <c r="C70" s="15" t="str">
        <f>Ustawienia!C51</f>
        <v>Chrześniak</v>
      </c>
      <c r="D70" s="28">
        <f>SUMIFS('02.2020'!$C$8:$C$73,'02.2020'!$D$8:$D$73,$B70,'02.2020'!$E$8:$E$73,$C70)</f>
        <v>-125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>
        <f t="shared" si="5"/>
        <v>-125</v>
      </c>
    </row>
    <row r="71" spans="2:15" s="45" customFormat="1" x14ac:dyDescent="0.3">
      <c r="B71" s="15" t="str">
        <f>Ustawienia!B52</f>
        <v>Fundusze</v>
      </c>
      <c r="C71" s="15" t="str">
        <f>Ustawienia!C52</f>
        <v>Kieszonkowe</v>
      </c>
      <c r="D71" s="28">
        <f>SUMIFS('02.2020'!$C$8:$C$73,'02.2020'!$D$8:$D$73,$B71,'02.2020'!$E$8:$E$73,$C71)</f>
        <v>-300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>
        <f t="shared" si="5"/>
        <v>-300</v>
      </c>
    </row>
    <row r="72" spans="2:15" s="45" customFormat="1" x14ac:dyDescent="0.3">
      <c r="B72" s="15" t="str">
        <f>Ustawienia!B53</f>
        <v>Fundusze</v>
      </c>
      <c r="C72" s="15" t="str">
        <f>Ustawienia!C53</f>
        <v>Szkoła</v>
      </c>
      <c r="D72" s="28">
        <f>SUMIFS('02.2020'!$C$8:$C$73,'02.2020'!$D$8:$D$73,$B72,'02.2020'!$E$8:$E$73,$C72)</f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>
        <f t="shared" si="5"/>
        <v>0</v>
      </c>
    </row>
    <row r="73" spans="2:15" s="45" customFormat="1" x14ac:dyDescent="0.3">
      <c r="B73" s="15" t="str">
        <f>Ustawienia!B54</f>
        <v>Fundusze</v>
      </c>
      <c r="C73" s="15" t="str">
        <f>Ustawienia!C54</f>
        <v>Wakacje</v>
      </c>
      <c r="D73" s="28">
        <f>SUMIFS('02.2020'!$C$8:$C$73,'02.2020'!$D$8:$D$73,$B73,'02.2020'!$E$8:$E$73,$C73)</f>
        <v>-400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>
        <f t="shared" si="5"/>
        <v>-400</v>
      </c>
    </row>
    <row r="74" spans="2:15" s="45" customFormat="1" x14ac:dyDescent="0.3">
      <c r="B74" s="15" t="str">
        <f>Ustawienia!B55</f>
        <v>Fundusze</v>
      </c>
      <c r="C74" s="15" t="str">
        <f>Ustawienia!C55</f>
        <v>Prezenty</v>
      </c>
      <c r="D74" s="28">
        <f>SUMIFS('02.2020'!$C$8:$C$73,'02.2020'!$D$8:$D$73,$B74,'02.2020'!$E$8:$E$73,$C74)</f>
        <v>-200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>
        <f t="shared" si="5"/>
        <v>-200</v>
      </c>
    </row>
    <row r="75" spans="2:15" s="45" customFormat="1" x14ac:dyDescent="0.3">
      <c r="B75" s="15" t="str">
        <f>Ustawienia!B56</f>
        <v>Dziesięcina</v>
      </c>
      <c r="C75" s="15" t="str">
        <f>Ustawienia!C56</f>
        <v>Dziesięcina</v>
      </c>
      <c r="D75" s="28">
        <f>SUMIFS('02.2020'!$C$8:$C$73,'02.2020'!$D$8:$D$73,$B75,'02.2020'!$E$8:$E$73,$C75)</f>
        <v>-652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>
        <f t="shared" si="5"/>
        <v>-652</v>
      </c>
    </row>
    <row r="76" spans="2:15" s="45" customFormat="1" x14ac:dyDescent="0.3">
      <c r="B76" s="15" t="str">
        <f>Ustawienia!B57</f>
        <v>Pożyczka</v>
      </c>
      <c r="C76" s="15" t="str">
        <f>Ustawienia!C57</f>
        <v>Pożyczka</v>
      </c>
      <c r="D76" s="28">
        <f>SUMIFS('02.2020'!$C$8:$C$73,'02.2020'!$D$8:$D$73,$B76,'02.2020'!$E$8:$E$73,$C76)</f>
        <v>-4400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>
        <f t="shared" si="5"/>
        <v>-4400</v>
      </c>
    </row>
    <row r="77" spans="2:15" x14ac:dyDescent="0.3">
      <c r="B77" s="15" t="str">
        <f>Ustawienia!B58</f>
        <v>Prezenty</v>
      </c>
      <c r="C77" s="15" t="str">
        <f>Ustawienia!C58</f>
        <v>Prezenty</v>
      </c>
      <c r="D77" s="28">
        <f>SUMIFS('02.2020'!$C$8:$C$73,'02.2020'!$D$8:$D$73,$B77,'02.2020'!$E$8:$E$73,$C77)</f>
        <v>-20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>
        <f t="shared" ref="O77:O78" si="6">AVERAGE(D77:D77)</f>
        <v>-20</v>
      </c>
    </row>
    <row r="78" spans="2:15" s="45" customFormat="1" x14ac:dyDescent="0.3">
      <c r="B78" s="15" t="str">
        <f>Ustawienia!B59</f>
        <v>Inne</v>
      </c>
      <c r="C78" s="15" t="str">
        <f>Ustawienia!C59</f>
        <v>Inne</v>
      </c>
      <c r="D78" s="28">
        <f>SUMIFS('02.2020'!$C$8:$C$73,'02.2020'!$D$8:$D$73,$B78,'02.2020'!$E$8:$E$73,$C78)</f>
        <v>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>
        <f t="shared" si="6"/>
        <v>0</v>
      </c>
    </row>
    <row r="79" spans="2:15" s="45" customFormat="1" x14ac:dyDescent="0.3">
      <c r="B79" s="52"/>
      <c r="C79" s="52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</row>
    <row r="80" spans="2:15" x14ac:dyDescent="0.3">
      <c r="B80" s="65" t="s">
        <v>6</v>
      </c>
      <c r="C80" s="66"/>
      <c r="D80" s="26" t="s">
        <v>44</v>
      </c>
      <c r="E80" s="26" t="s">
        <v>45</v>
      </c>
      <c r="F80" s="26" t="s">
        <v>46</v>
      </c>
      <c r="G80" s="26" t="s">
        <v>47</v>
      </c>
      <c r="H80" s="26" t="s">
        <v>48</v>
      </c>
      <c r="I80" s="26" t="s">
        <v>49</v>
      </c>
      <c r="J80" s="26" t="s">
        <v>50</v>
      </c>
      <c r="K80" s="26" t="s">
        <v>16</v>
      </c>
      <c r="L80" s="26" t="s">
        <v>17</v>
      </c>
      <c r="M80" s="26" t="s">
        <v>51</v>
      </c>
      <c r="N80" s="26" t="s">
        <v>18</v>
      </c>
      <c r="O80" s="17" t="s">
        <v>19</v>
      </c>
    </row>
    <row r="81" spans="2:15" x14ac:dyDescent="0.3">
      <c r="B81" s="69" t="str">
        <f>Ustawienia!D2</f>
        <v>Stały</v>
      </c>
      <c r="C81" s="70"/>
      <c r="D81" s="28">
        <f>-SUMIF('02.2020'!$F$8:$F$73,B81,'02.2020'!$C$8:$C$73)</f>
        <v>6047.91</v>
      </c>
      <c r="E81" s="28">
        <v>0</v>
      </c>
      <c r="F81" s="28"/>
      <c r="G81" s="28"/>
      <c r="H81" s="28"/>
      <c r="I81" s="28"/>
      <c r="J81" s="28"/>
      <c r="K81" s="28"/>
      <c r="L81" s="28"/>
      <c r="M81" s="28"/>
      <c r="N81" s="28"/>
      <c r="O81" s="28">
        <f>AVERAGE(D81:D81)</f>
        <v>6047.91</v>
      </c>
    </row>
    <row r="82" spans="2:15" x14ac:dyDescent="0.3">
      <c r="B82" s="69" t="str">
        <f>Ustawienia!D3</f>
        <v>Zmienny</v>
      </c>
      <c r="C82" s="70"/>
      <c r="D82" s="28">
        <f>-SUMIF('02.2020'!$F$8:$F$73,B82,'02.2020'!$C$8:$C$73)</f>
        <v>1823.39</v>
      </c>
      <c r="E82" s="28">
        <v>0</v>
      </c>
      <c r="F82" s="28"/>
      <c r="G82" s="28"/>
      <c r="H82" s="28"/>
      <c r="I82" s="28"/>
      <c r="J82" s="28"/>
      <c r="K82" s="28"/>
      <c r="L82" s="28"/>
      <c r="M82" s="28"/>
      <c r="N82" s="28"/>
      <c r="O82" s="28">
        <f t="shared" ref="O82:O83" si="7">AVERAGE(D82:D82)</f>
        <v>1823.39</v>
      </c>
    </row>
    <row r="83" spans="2:15" x14ac:dyDescent="0.3">
      <c r="B83" s="69" t="str">
        <f>Ustawienia!D4</f>
        <v>Jednorazowy</v>
      </c>
      <c r="C83" s="70"/>
      <c r="D83" s="28">
        <f>-SUMIF('02.2020'!$F$8:$F$73,B83,'02.2020'!$C$8:$C$73)</f>
        <v>10233.879999999999</v>
      </c>
      <c r="E83" s="28">
        <v>0</v>
      </c>
      <c r="F83" s="28"/>
      <c r="G83" s="28"/>
      <c r="H83" s="28"/>
      <c r="I83" s="28"/>
      <c r="J83" s="28"/>
      <c r="K83" s="28"/>
      <c r="L83" s="28"/>
      <c r="M83" s="28"/>
      <c r="N83" s="28"/>
      <c r="O83" s="28">
        <f t="shared" si="7"/>
        <v>10233.879999999999</v>
      </c>
    </row>
  </sheetData>
  <mergeCells count="22">
    <mergeCell ref="B82:C82"/>
    <mergeCell ref="B83:C83"/>
    <mergeCell ref="B8:C8"/>
    <mergeCell ref="B9:C9"/>
    <mergeCell ref="B10:C10"/>
    <mergeCell ref="B11:C11"/>
    <mergeCell ref="B12:C12"/>
    <mergeCell ref="B13:C13"/>
    <mergeCell ref="B14:C14"/>
    <mergeCell ref="B81:C81"/>
    <mergeCell ref="B20:C20"/>
    <mergeCell ref="B4:C4"/>
    <mergeCell ref="B5:C5"/>
    <mergeCell ref="B6:C6"/>
    <mergeCell ref="B3:C3"/>
    <mergeCell ref="B80:C80"/>
    <mergeCell ref="B15:C15"/>
    <mergeCell ref="B16:C16"/>
    <mergeCell ref="B17:C17"/>
    <mergeCell ref="B19:C19"/>
    <mergeCell ref="B18:C18"/>
    <mergeCell ref="B21:C21"/>
  </mergeCells>
  <phoneticPr fontId="11" type="noConversion"/>
  <conditionalFormatting sqref="E24 D24:D79">
    <cfRule type="cellIs" dxfId="9" priority="8" operator="lessThan">
      <formula>0</formula>
    </cfRule>
    <cfRule type="cellIs" dxfId="8" priority="9" operator="greaterThan">
      <formula>0</formula>
    </cfRule>
  </conditionalFormatting>
  <conditionalFormatting sqref="F24:O24 E25:O79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D4:O7 D9:O22">
    <cfRule type="cellIs" dxfId="5" priority="10" operator="lessThan">
      <formula>0</formula>
    </cfRule>
    <cfRule type="cellIs" dxfId="4" priority="11" operator="greaterThan">
      <formula>0</formula>
    </cfRule>
  </conditionalFormatting>
  <conditionalFormatting sqref="F9:O9 E10:O21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E9 D9:D21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7B7EC-5167-4454-88FE-9530178DEE14}">
  <sheetPr codeName="Arkusz3"/>
  <dimension ref="A1:K59"/>
  <sheetViews>
    <sheetView tabSelected="1" workbookViewId="0">
      <selection activeCell="C58" sqref="C58"/>
    </sheetView>
  </sheetViews>
  <sheetFormatPr defaultRowHeight="14.4" x14ac:dyDescent="0.3"/>
  <cols>
    <col min="1" max="3" customWidth="true" width="23.0" collapsed="true"/>
    <col min="4" max="4" customWidth="true" width="17.44140625" collapsed="true"/>
    <col min="7" max="7" bestFit="true" customWidth="true" width="9.109375" collapsed="true"/>
  </cols>
  <sheetData>
    <row r="1" spans="1:11" x14ac:dyDescent="0.3">
      <c r="A1" s="2" t="s">
        <v>5</v>
      </c>
      <c r="B1" s="2" t="s">
        <v>5</v>
      </c>
      <c r="C1" s="2" t="s">
        <v>53</v>
      </c>
      <c r="D1" s="2" t="s">
        <v>6</v>
      </c>
    </row>
    <row r="2" spans="1:11" x14ac:dyDescent="0.3">
      <c r="A2" s="7" t="s">
        <v>96</v>
      </c>
      <c r="B2" s="7" t="s">
        <v>96</v>
      </c>
      <c r="C2" s="7" t="s">
        <v>92</v>
      </c>
      <c r="D2" s="40" t="s">
        <v>10</v>
      </c>
    </row>
    <row r="3" spans="1:11" x14ac:dyDescent="0.3">
      <c r="A3" s="7" t="s">
        <v>55</v>
      </c>
      <c r="B3" s="7" t="s">
        <v>96</v>
      </c>
      <c r="C3" s="7" t="s">
        <v>93</v>
      </c>
      <c r="D3" s="40" t="s">
        <v>8</v>
      </c>
    </row>
    <row r="4" spans="1:11" x14ac:dyDescent="0.3">
      <c r="A4" s="7" t="s">
        <v>59</v>
      </c>
      <c r="B4" s="7" t="s">
        <v>96</v>
      </c>
      <c r="C4" s="7" t="s">
        <v>12</v>
      </c>
      <c r="D4" s="41" t="s">
        <v>11</v>
      </c>
    </row>
    <row r="5" spans="1:11" x14ac:dyDescent="0.3">
      <c r="A5" s="7" t="s">
        <v>60</v>
      </c>
      <c r="B5" s="7" t="s">
        <v>96</v>
      </c>
      <c r="C5" s="7" t="s">
        <v>94</v>
      </c>
      <c r="D5" s="7"/>
      <c r="K5" s="45"/>
    </row>
    <row r="6" spans="1:11" x14ac:dyDescent="0.3">
      <c r="A6" s="7" t="s">
        <v>61</v>
      </c>
      <c r="B6" s="7" t="s">
        <v>96</v>
      </c>
      <c r="C6" s="47" t="s">
        <v>98</v>
      </c>
      <c r="D6" s="7"/>
    </row>
    <row r="7" spans="1:11" x14ac:dyDescent="0.3">
      <c r="A7" s="7" t="s">
        <v>62</v>
      </c>
      <c r="B7" s="47" t="s">
        <v>96</v>
      </c>
      <c r="C7" s="32" t="s">
        <v>101</v>
      </c>
      <c r="D7" s="7"/>
    </row>
    <row r="8" spans="1:11" x14ac:dyDescent="0.3">
      <c r="A8" s="7" t="s">
        <v>63</v>
      </c>
      <c r="B8" s="7" t="s">
        <v>55</v>
      </c>
      <c r="C8" s="7" t="s">
        <v>56</v>
      </c>
      <c r="D8" s="7"/>
    </row>
    <row r="9" spans="1:11" x14ac:dyDescent="0.3">
      <c r="A9" s="32" t="s">
        <v>9</v>
      </c>
      <c r="B9" s="7" t="s">
        <v>55</v>
      </c>
      <c r="C9" s="7" t="s">
        <v>57</v>
      </c>
      <c r="D9" s="40"/>
    </row>
    <row r="10" spans="1:11" x14ac:dyDescent="0.3">
      <c r="A10" s="32" t="s">
        <v>22</v>
      </c>
      <c r="B10" s="7" t="s">
        <v>55</v>
      </c>
      <c r="C10" s="7" t="s">
        <v>58</v>
      </c>
      <c r="D10" s="41"/>
    </row>
    <row r="11" spans="1:11" x14ac:dyDescent="0.3">
      <c r="A11" s="1" t="s">
        <v>95</v>
      </c>
      <c r="B11" s="7" t="s">
        <v>59</v>
      </c>
      <c r="C11" s="7" t="s">
        <v>64</v>
      </c>
      <c r="D11" s="40"/>
    </row>
    <row r="12" spans="1:11" x14ac:dyDescent="0.3">
      <c r="A12" s="47" t="s">
        <v>99</v>
      </c>
      <c r="B12" s="7" t="s">
        <v>59</v>
      </c>
      <c r="C12" s="7" t="s">
        <v>65</v>
      </c>
      <c r="D12" s="40"/>
    </row>
    <row r="13" spans="1:11" s="45" customFormat="1" x14ac:dyDescent="0.3">
      <c r="A13" s="47" t="s">
        <v>12</v>
      </c>
      <c r="B13" s="7" t="s">
        <v>59</v>
      </c>
      <c r="C13" s="7" t="s">
        <v>66</v>
      </c>
      <c r="D13" s="40"/>
    </row>
    <row r="14" spans="1:11" x14ac:dyDescent="0.3">
      <c r="A14" s="1" t="s">
        <v>97</v>
      </c>
      <c r="B14" s="7" t="s">
        <v>59</v>
      </c>
      <c r="C14" s="7" t="s">
        <v>67</v>
      </c>
      <c r="D14" s="40"/>
    </row>
    <row r="15" spans="1:11" x14ac:dyDescent="0.3">
      <c r="A15" s="1"/>
      <c r="B15" s="7" t="s">
        <v>59</v>
      </c>
      <c r="C15" s="7" t="s">
        <v>68</v>
      </c>
      <c r="D15" s="40"/>
    </row>
    <row r="16" spans="1:11" x14ac:dyDescent="0.3">
      <c r="A16" s="1"/>
      <c r="B16" s="7" t="s">
        <v>59</v>
      </c>
      <c r="C16" s="7" t="s">
        <v>69</v>
      </c>
      <c r="D16" s="1"/>
    </row>
    <row r="17" spans="1:4" x14ac:dyDescent="0.3">
      <c r="A17" s="1"/>
      <c r="B17" s="7" t="s">
        <v>59</v>
      </c>
      <c r="C17" s="7" t="s">
        <v>138</v>
      </c>
      <c r="D17" s="1"/>
    </row>
    <row r="18" spans="1:4" s="45" customFormat="1" x14ac:dyDescent="0.3">
      <c r="A18" s="1"/>
      <c r="B18" s="7" t="s">
        <v>59</v>
      </c>
      <c r="C18" s="7" t="s">
        <v>70</v>
      </c>
      <c r="D18" s="1"/>
    </row>
    <row r="19" spans="1:4" x14ac:dyDescent="0.3">
      <c r="A19" s="1"/>
      <c r="B19" s="7" t="s">
        <v>59</v>
      </c>
      <c r="C19" s="7" t="s">
        <v>71</v>
      </c>
      <c r="D19" s="1"/>
    </row>
    <row r="20" spans="1:4" x14ac:dyDescent="0.3">
      <c r="A20" s="1"/>
      <c r="B20" s="7" t="s">
        <v>60</v>
      </c>
      <c r="C20" s="7" t="s">
        <v>13</v>
      </c>
      <c r="D20" s="1"/>
    </row>
    <row r="21" spans="1:4" x14ac:dyDescent="0.3">
      <c r="A21" s="1"/>
      <c r="B21" s="7" t="s">
        <v>60</v>
      </c>
      <c r="C21" s="7" t="s">
        <v>72</v>
      </c>
      <c r="D21" s="1"/>
    </row>
    <row r="22" spans="1:4" x14ac:dyDescent="0.3">
      <c r="A22" s="1"/>
      <c r="B22" s="7" t="s">
        <v>60</v>
      </c>
      <c r="C22" s="7" t="s">
        <v>73</v>
      </c>
      <c r="D22" s="1"/>
    </row>
    <row r="23" spans="1:4" x14ac:dyDescent="0.3">
      <c r="A23" s="1"/>
      <c r="B23" s="7" t="s">
        <v>60</v>
      </c>
      <c r="C23" s="7" t="s">
        <v>74</v>
      </c>
      <c r="D23" s="1"/>
    </row>
    <row r="24" spans="1:4" x14ac:dyDescent="0.3">
      <c r="A24" s="1"/>
      <c r="B24" s="7" t="s">
        <v>60</v>
      </c>
      <c r="C24" s="7" t="s">
        <v>67</v>
      </c>
      <c r="D24" s="1"/>
    </row>
    <row r="25" spans="1:4" x14ac:dyDescent="0.3">
      <c r="A25" s="1"/>
      <c r="B25" s="7" t="s">
        <v>60</v>
      </c>
      <c r="C25" s="7" t="s">
        <v>75</v>
      </c>
      <c r="D25" s="1"/>
    </row>
    <row r="26" spans="1:4" x14ac:dyDescent="0.3">
      <c r="A26" s="1"/>
      <c r="B26" s="7" t="s">
        <v>60</v>
      </c>
      <c r="C26" s="47" t="s">
        <v>100</v>
      </c>
      <c r="D26" s="1"/>
    </row>
    <row r="27" spans="1:4" x14ac:dyDescent="0.3">
      <c r="A27" s="1"/>
      <c r="B27" s="7" t="s">
        <v>61</v>
      </c>
      <c r="C27" s="7" t="s">
        <v>76</v>
      </c>
      <c r="D27" s="1"/>
    </row>
    <row r="28" spans="1:4" x14ac:dyDescent="0.3">
      <c r="A28" s="1"/>
      <c r="B28" s="7" t="s">
        <v>61</v>
      </c>
      <c r="C28" s="7" t="s">
        <v>77</v>
      </c>
      <c r="D28" s="1"/>
    </row>
    <row r="29" spans="1:4" x14ac:dyDescent="0.3">
      <c r="A29" s="1"/>
      <c r="B29" s="7" t="s">
        <v>61</v>
      </c>
      <c r="C29" s="7" t="s">
        <v>14</v>
      </c>
      <c r="D29" s="1"/>
    </row>
    <row r="30" spans="1:4" x14ac:dyDescent="0.3">
      <c r="A30" s="1"/>
      <c r="B30" s="7" t="s">
        <v>61</v>
      </c>
      <c r="C30" s="7" t="s">
        <v>78</v>
      </c>
      <c r="D30" s="1"/>
    </row>
    <row r="31" spans="1:4" x14ac:dyDescent="0.3">
      <c r="A31" s="1"/>
      <c r="B31" s="7" t="s">
        <v>62</v>
      </c>
      <c r="C31" s="7" t="s">
        <v>79</v>
      </c>
      <c r="D31" s="1"/>
    </row>
    <row r="32" spans="1:4" x14ac:dyDescent="0.3">
      <c r="A32" s="1"/>
      <c r="B32" s="7" t="s">
        <v>62</v>
      </c>
      <c r="C32" s="7" t="s">
        <v>80</v>
      </c>
      <c r="D32" s="1"/>
    </row>
    <row r="33" spans="1:4" x14ac:dyDescent="0.3">
      <c r="A33" s="1"/>
      <c r="B33" s="7" t="s">
        <v>62</v>
      </c>
      <c r="C33" s="7" t="s">
        <v>81</v>
      </c>
      <c r="D33" s="1"/>
    </row>
    <row r="34" spans="1:4" x14ac:dyDescent="0.3">
      <c r="A34" s="1"/>
      <c r="B34" s="7" t="s">
        <v>62</v>
      </c>
      <c r="C34" s="7" t="s">
        <v>82</v>
      </c>
      <c r="D34" s="1"/>
    </row>
    <row r="35" spans="1:4" x14ac:dyDescent="0.3">
      <c r="A35" s="1"/>
      <c r="B35" s="7" t="s">
        <v>62</v>
      </c>
      <c r="C35" s="7" t="s">
        <v>136</v>
      </c>
      <c r="D35" s="1"/>
    </row>
    <row r="36" spans="1:4" s="45" customFormat="1" x14ac:dyDescent="0.3">
      <c r="A36" s="1"/>
      <c r="B36" s="7" t="s">
        <v>62</v>
      </c>
      <c r="C36" s="7" t="s">
        <v>83</v>
      </c>
      <c r="D36" s="1"/>
    </row>
    <row r="37" spans="1:4" x14ac:dyDescent="0.3">
      <c r="A37" s="1"/>
      <c r="B37" s="7" t="s">
        <v>63</v>
      </c>
      <c r="C37" s="7" t="s">
        <v>84</v>
      </c>
      <c r="D37" s="7"/>
    </row>
    <row r="38" spans="1:4" x14ac:dyDescent="0.3">
      <c r="A38" s="1"/>
      <c r="B38" s="7" t="s">
        <v>63</v>
      </c>
      <c r="C38" s="7" t="s">
        <v>85</v>
      </c>
      <c r="D38" s="7"/>
    </row>
    <row r="39" spans="1:4" x14ac:dyDescent="0.3">
      <c r="A39" s="1"/>
      <c r="B39" s="7" t="s">
        <v>63</v>
      </c>
      <c r="C39" s="7" t="s">
        <v>86</v>
      </c>
      <c r="D39" s="7"/>
    </row>
    <row r="40" spans="1:4" x14ac:dyDescent="0.3">
      <c r="A40" s="1"/>
      <c r="B40" s="7" t="s">
        <v>63</v>
      </c>
      <c r="C40" s="7" t="s">
        <v>87</v>
      </c>
      <c r="D40" s="7"/>
    </row>
    <row r="41" spans="1:4" x14ac:dyDescent="0.3">
      <c r="A41" s="1"/>
      <c r="B41" s="7" t="s">
        <v>63</v>
      </c>
      <c r="C41" s="7" t="s">
        <v>88</v>
      </c>
      <c r="D41" s="7"/>
    </row>
    <row r="42" spans="1:4" x14ac:dyDescent="0.3">
      <c r="A42" s="1"/>
      <c r="B42" s="7" t="s">
        <v>63</v>
      </c>
      <c r="C42" s="7" t="s">
        <v>89</v>
      </c>
      <c r="D42" s="7"/>
    </row>
    <row r="43" spans="1:4" x14ac:dyDescent="0.3">
      <c r="A43" s="1"/>
      <c r="B43" s="32" t="s">
        <v>9</v>
      </c>
      <c r="C43" s="7" t="s">
        <v>90</v>
      </c>
      <c r="D43" s="7"/>
    </row>
    <row r="44" spans="1:4" x14ac:dyDescent="0.3">
      <c r="A44" s="1"/>
      <c r="B44" s="32" t="s">
        <v>9</v>
      </c>
      <c r="C44" s="7" t="s">
        <v>15</v>
      </c>
      <c r="D44" s="7"/>
    </row>
    <row r="45" spans="1:4" x14ac:dyDescent="0.3">
      <c r="A45" s="1"/>
      <c r="B45" s="32" t="s">
        <v>9</v>
      </c>
      <c r="C45" s="7" t="s">
        <v>91</v>
      </c>
      <c r="D45" s="7"/>
    </row>
    <row r="46" spans="1:4" x14ac:dyDescent="0.3">
      <c r="A46" s="1"/>
      <c r="B46" s="32" t="s">
        <v>9</v>
      </c>
      <c r="C46" s="7" t="s">
        <v>140</v>
      </c>
      <c r="D46" s="7"/>
    </row>
    <row r="47" spans="1:4" s="45" customFormat="1" x14ac:dyDescent="0.3">
      <c r="A47" s="1"/>
      <c r="B47" s="1" t="s">
        <v>22</v>
      </c>
      <c r="C47" s="10" t="s">
        <v>26</v>
      </c>
      <c r="D47" s="7"/>
    </row>
    <row r="48" spans="1:4" x14ac:dyDescent="0.3">
      <c r="A48" s="7"/>
      <c r="B48" s="1" t="s">
        <v>22</v>
      </c>
      <c r="C48" s="10" t="s">
        <v>27</v>
      </c>
      <c r="D48" s="7"/>
    </row>
    <row r="49" spans="1:4" x14ac:dyDescent="0.3">
      <c r="A49" s="7"/>
      <c r="B49" s="1" t="s">
        <v>22</v>
      </c>
      <c r="C49" s="10" t="s">
        <v>29</v>
      </c>
      <c r="D49" s="7"/>
    </row>
    <row r="50" spans="1:4" x14ac:dyDescent="0.3">
      <c r="A50" s="7"/>
      <c r="B50" s="1" t="s">
        <v>22</v>
      </c>
      <c r="C50" s="10" t="s">
        <v>30</v>
      </c>
      <c r="D50" s="7"/>
    </row>
    <row r="51" spans="1:4" x14ac:dyDescent="0.3">
      <c r="A51" s="7"/>
      <c r="B51" s="1" t="s">
        <v>22</v>
      </c>
      <c r="C51" s="10" t="s">
        <v>31</v>
      </c>
      <c r="D51" s="7"/>
    </row>
    <row r="52" spans="1:4" x14ac:dyDescent="0.3">
      <c r="A52" s="7"/>
      <c r="B52" s="1" t="s">
        <v>22</v>
      </c>
      <c r="C52" s="10" t="s">
        <v>32</v>
      </c>
      <c r="D52" s="7"/>
    </row>
    <row r="53" spans="1:4" x14ac:dyDescent="0.3">
      <c r="A53" s="7"/>
      <c r="B53" s="1" t="s">
        <v>22</v>
      </c>
      <c r="C53" s="10" t="s">
        <v>33</v>
      </c>
      <c r="D53" s="7"/>
    </row>
    <row r="54" spans="1:4" x14ac:dyDescent="0.3">
      <c r="B54" s="1" t="s">
        <v>22</v>
      </c>
      <c r="C54" s="10" t="s">
        <v>34</v>
      </c>
    </row>
    <row r="55" spans="1:4" x14ac:dyDescent="0.3">
      <c r="B55" s="1" t="s">
        <v>22</v>
      </c>
      <c r="C55" s="10" t="s">
        <v>12</v>
      </c>
    </row>
    <row r="56" spans="1:4" x14ac:dyDescent="0.3">
      <c r="B56" s="1" t="s">
        <v>95</v>
      </c>
      <c r="C56" s="1" t="s">
        <v>95</v>
      </c>
    </row>
    <row r="57" spans="1:4" x14ac:dyDescent="0.3">
      <c r="B57" s="48" t="s">
        <v>99</v>
      </c>
      <c r="C57" s="49" t="s">
        <v>99</v>
      </c>
    </row>
    <row r="58" spans="1:4" s="45" customFormat="1" x14ac:dyDescent="0.3">
      <c r="B58" s="48" t="s">
        <v>12</v>
      </c>
      <c r="C58" s="48" t="s">
        <v>12</v>
      </c>
    </row>
    <row r="59" spans="1:4" s="45" customFormat="1" x14ac:dyDescent="0.3">
      <c r="B59" s="1" t="s">
        <v>97</v>
      </c>
      <c r="C59" s="1" t="s">
        <v>97</v>
      </c>
    </row>
  </sheetData>
  <dataValidations count="2">
    <dataValidation type="list" allowBlank="1" showInputMessage="1" showErrorMessage="1" sqref="G5" xr:uid="{F5C930E1-F4AE-4520-B13C-BDB5BCA62C66}">
      <formula1>OFFSET($C$1,MATCH(F5,ListRob,0),0,COUNTIF(ListRob,F5),1)</formula1>
    </dataValidation>
    <dataValidation type="list" showInputMessage="1" showErrorMessage="1" sqref="H2" xr:uid="{33F094FD-64AD-4293-8DCE-50DCA264AF83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4CF9-DA01-4A26-9B74-ED1EBDBD22DC}">
  <sheetPr codeName="Arkusz4"/>
  <dimension ref="A1:K16"/>
  <sheetViews>
    <sheetView workbookViewId="0">
      <selection activeCell="D3" sqref="D3"/>
    </sheetView>
  </sheetViews>
  <sheetFormatPr defaultRowHeight="14.4" x14ac:dyDescent="0.3"/>
  <cols>
    <col min="1" max="1" customWidth="true" width="17.0" collapsed="true"/>
  </cols>
  <sheetData>
    <row r="1" spans="1:11" x14ac:dyDescent="0.3">
      <c r="A1" s="7" t="s">
        <v>22</v>
      </c>
      <c r="B1" s="7"/>
      <c r="C1" s="7"/>
      <c r="D1" s="7"/>
    </row>
    <row r="2" spans="1:11" ht="15.6" customHeight="1" x14ac:dyDescent="0.3">
      <c r="A2" s="7" t="s">
        <v>23</v>
      </c>
      <c r="B2" s="7" t="s">
        <v>24</v>
      </c>
      <c r="C2" s="7" t="s">
        <v>25</v>
      </c>
      <c r="D2" s="7"/>
    </row>
    <row r="3" spans="1:11" x14ac:dyDescent="0.3">
      <c r="A3" s="38" t="s">
        <v>26</v>
      </c>
      <c r="B3" s="7">
        <v>50</v>
      </c>
      <c r="C3" s="7">
        <v>50</v>
      </c>
      <c r="D3" s="7">
        <f t="shared" ref="D3:D11" si="0">B3+C3</f>
        <v>100</v>
      </c>
      <c r="E3">
        <v>300</v>
      </c>
      <c r="H3" t="s">
        <v>40</v>
      </c>
    </row>
    <row r="4" spans="1:11" x14ac:dyDescent="0.3">
      <c r="A4" s="34" t="s">
        <v>27</v>
      </c>
      <c r="B4" s="7">
        <v>500</v>
      </c>
      <c r="C4" s="7">
        <v>500</v>
      </c>
      <c r="D4" s="7">
        <f t="shared" si="0"/>
        <v>1000</v>
      </c>
      <c r="E4" t="s">
        <v>28</v>
      </c>
      <c r="H4" t="s">
        <v>40</v>
      </c>
    </row>
    <row r="5" spans="1:11" x14ac:dyDescent="0.3">
      <c r="A5" s="38" t="s">
        <v>29</v>
      </c>
      <c r="B5" s="7">
        <v>50</v>
      </c>
      <c r="C5" s="7">
        <v>50</v>
      </c>
      <c r="D5" s="7">
        <f t="shared" si="0"/>
        <v>100</v>
      </c>
      <c r="H5" t="s">
        <v>40</v>
      </c>
    </row>
    <row r="6" spans="1:11" x14ac:dyDescent="0.3">
      <c r="A6" s="38" t="s">
        <v>30</v>
      </c>
      <c r="B6" s="7">
        <v>70</v>
      </c>
      <c r="C6" s="7">
        <v>70</v>
      </c>
      <c r="D6" s="7">
        <f t="shared" si="0"/>
        <v>140</v>
      </c>
      <c r="H6" t="s">
        <v>40</v>
      </c>
    </row>
    <row r="7" spans="1:11" x14ac:dyDescent="0.3">
      <c r="A7" s="38" t="s">
        <v>31</v>
      </c>
      <c r="B7" s="7">
        <v>50</v>
      </c>
      <c r="C7" s="7">
        <v>75</v>
      </c>
      <c r="D7" s="7">
        <f t="shared" si="0"/>
        <v>125</v>
      </c>
      <c r="H7" t="s">
        <v>40</v>
      </c>
    </row>
    <row r="8" spans="1:11" x14ac:dyDescent="0.3">
      <c r="A8" s="35" t="s">
        <v>32</v>
      </c>
      <c r="B8" s="32">
        <v>300</v>
      </c>
      <c r="C8" s="32">
        <v>300</v>
      </c>
      <c r="D8" s="32">
        <f t="shared" si="0"/>
        <v>600</v>
      </c>
      <c r="E8" t="s">
        <v>43</v>
      </c>
      <c r="H8" t="s">
        <v>41</v>
      </c>
    </row>
    <row r="9" spans="1:11" x14ac:dyDescent="0.3">
      <c r="A9" s="35" t="s">
        <v>33</v>
      </c>
      <c r="B9" s="7">
        <v>200</v>
      </c>
      <c r="C9" s="7">
        <v>0</v>
      </c>
      <c r="D9" s="7">
        <f t="shared" si="0"/>
        <v>200</v>
      </c>
      <c r="H9" t="s">
        <v>42</v>
      </c>
    </row>
    <row r="10" spans="1:11" x14ac:dyDescent="0.3">
      <c r="A10" s="37" t="s">
        <v>34</v>
      </c>
      <c r="B10" s="7">
        <v>200</v>
      </c>
      <c r="C10" s="7">
        <v>200</v>
      </c>
      <c r="D10" s="7">
        <f t="shared" si="0"/>
        <v>400</v>
      </c>
      <c r="E10" t="s">
        <v>35</v>
      </c>
      <c r="H10" t="s">
        <v>40</v>
      </c>
    </row>
    <row r="11" spans="1:11" ht="15.6" customHeight="1" x14ac:dyDescent="0.3">
      <c r="A11" s="38" t="s">
        <v>12</v>
      </c>
      <c r="B11" s="32">
        <v>101</v>
      </c>
      <c r="C11" s="32">
        <v>100</v>
      </c>
      <c r="D11" s="32">
        <f t="shared" si="0"/>
        <v>201</v>
      </c>
      <c r="E11" t="s">
        <v>35</v>
      </c>
      <c r="H11" t="s">
        <v>40</v>
      </c>
    </row>
    <row r="12" spans="1:11" ht="15.6" customHeight="1" x14ac:dyDescent="0.3">
      <c r="A12" s="36" t="s">
        <v>36</v>
      </c>
      <c r="B12" s="33"/>
      <c r="C12" s="33"/>
      <c r="D12" s="33"/>
      <c r="E12" t="s">
        <v>37</v>
      </c>
    </row>
    <row r="13" spans="1:11" x14ac:dyDescent="0.3">
      <c r="D13">
        <f>SUM(D3:D11)</f>
        <v>2866</v>
      </c>
      <c r="E13">
        <f>870+400</f>
        <v>1270</v>
      </c>
      <c r="G13">
        <v>90</v>
      </c>
      <c r="H13">
        <v>25</v>
      </c>
      <c r="I13">
        <f>SUM(D13:H13)</f>
        <v>4251</v>
      </c>
    </row>
    <row r="14" spans="1:11" x14ac:dyDescent="0.3">
      <c r="E14">
        <v>2450</v>
      </c>
    </row>
    <row r="15" spans="1:11" x14ac:dyDescent="0.3">
      <c r="A15" t="s">
        <v>38</v>
      </c>
      <c r="I15">
        <v>2300</v>
      </c>
      <c r="J15">
        <v>800</v>
      </c>
      <c r="K15">
        <v>250</v>
      </c>
    </row>
    <row r="16" spans="1:11" x14ac:dyDescent="0.3">
      <c r="A16" t="s">
        <v>39</v>
      </c>
    </row>
  </sheetData>
  <autoFilter ref="A2:D10" xr:uid="{476EA3C3-E2C1-4194-960D-A8E2AC2F76CC}">
    <sortState xmlns:xlrd2="http://schemas.microsoft.com/office/spreadsheetml/2017/richdata2" ref="A3:D10">
      <sortCondition ref="A2:A10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551AD-DD15-46F6-B3FC-F8E002D7F3FE}">
  <sheetPr codeName="Arkusz5"/>
  <dimension ref="A1:C1"/>
  <sheetViews>
    <sheetView workbookViewId="0">
      <selection activeCell="C2" sqref="C2"/>
    </sheetView>
  </sheetViews>
  <sheetFormatPr defaultRowHeight="14.4" x14ac:dyDescent="0.3"/>
  <sheetData>
    <row r="1" spans="1:3" x14ac:dyDescent="0.3">
      <c r="A1" t="s">
        <v>3</v>
      </c>
      <c r="B1" t="s">
        <v>119</v>
      </c>
      <c r="C1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08A37-0785-495D-9C86-B9E15A8D5C27}">
  <sheetPr codeName="Arkusz6"/>
  <dimension ref="B2:G9"/>
  <sheetViews>
    <sheetView workbookViewId="0">
      <selection activeCell="B2" sqref="B2"/>
    </sheetView>
  </sheetViews>
  <sheetFormatPr defaultRowHeight="14.4" x14ac:dyDescent="0.3"/>
  <cols>
    <col min="1" max="1" customWidth="true" width="10.33203125" collapsed="true"/>
    <col min="2" max="2" customWidth="true" width="61.109375" collapsed="true"/>
    <col min="3" max="3" customWidth="true" width="15.6640625" collapsed="true"/>
    <col min="4" max="4" customWidth="true" width="12.33203125" collapsed="true"/>
    <col min="7" max="7" bestFit="true" customWidth="true" width="13.6640625" collapsed="true"/>
  </cols>
  <sheetData>
    <row r="2" spans="2:7" x14ac:dyDescent="0.3">
      <c r="B2" s="26" t="s">
        <v>104</v>
      </c>
      <c r="C2" s="26" t="s">
        <v>108</v>
      </c>
      <c r="D2" s="26" t="s">
        <v>105</v>
      </c>
      <c r="E2" s="26" t="s">
        <v>109</v>
      </c>
      <c r="G2" s="26" t="s">
        <v>114</v>
      </c>
    </row>
    <row r="3" spans="2:7" x14ac:dyDescent="0.3">
      <c r="B3" s="50" t="s">
        <v>106</v>
      </c>
      <c r="C3" s="7">
        <f>2*D3</f>
        <v>8774</v>
      </c>
      <c r="D3" s="7">
        <v>4387</v>
      </c>
      <c r="E3" s="7">
        <f>C3-D3</f>
        <v>4387</v>
      </c>
      <c r="G3" s="7">
        <v>68129.36</v>
      </c>
    </row>
    <row r="4" spans="2:7" x14ac:dyDescent="0.3">
      <c r="B4" s="50" t="s">
        <v>110</v>
      </c>
      <c r="C4" s="7">
        <v>3825.3</v>
      </c>
      <c r="D4" s="7">
        <v>0</v>
      </c>
      <c r="E4" s="7">
        <f t="shared" ref="E4:E9" si="0">C4-D4</f>
        <v>3825.3</v>
      </c>
      <c r="G4" s="7">
        <v>33121.61</v>
      </c>
    </row>
    <row r="5" spans="2:7" x14ac:dyDescent="0.3">
      <c r="B5" s="50" t="s">
        <v>111</v>
      </c>
      <c r="C5" s="7">
        <v>200</v>
      </c>
      <c r="D5" s="7">
        <v>0</v>
      </c>
      <c r="E5" s="7">
        <f t="shared" si="0"/>
        <v>200</v>
      </c>
    </row>
    <row r="6" spans="2:7" x14ac:dyDescent="0.3">
      <c r="B6" s="50" t="s">
        <v>112</v>
      </c>
      <c r="C6" s="7">
        <v>200</v>
      </c>
      <c r="D6" s="7">
        <v>0</v>
      </c>
      <c r="E6" s="7">
        <f t="shared" si="0"/>
        <v>200</v>
      </c>
    </row>
    <row r="7" spans="2:7" s="45" customFormat="1" x14ac:dyDescent="0.3">
      <c r="B7" s="50" t="s">
        <v>113</v>
      </c>
      <c r="C7" s="7">
        <v>585</v>
      </c>
      <c r="D7" s="7">
        <v>0</v>
      </c>
      <c r="E7" s="7">
        <f t="shared" si="0"/>
        <v>585</v>
      </c>
    </row>
    <row r="8" spans="2:7" x14ac:dyDescent="0.3">
      <c r="B8" s="51">
        <v>0.2</v>
      </c>
      <c r="C8" s="7">
        <f>585000*0.2</f>
        <v>117000</v>
      </c>
      <c r="D8" s="7">
        <v>15000</v>
      </c>
      <c r="E8" s="7">
        <f t="shared" si="0"/>
        <v>102000</v>
      </c>
    </row>
    <row r="9" spans="2:7" x14ac:dyDescent="0.3">
      <c r="B9" s="50" t="s">
        <v>107</v>
      </c>
      <c r="C9" s="7">
        <f>SUM(C3:C8)</f>
        <v>130584.3</v>
      </c>
      <c r="D9" s="7">
        <f>SUM(D3:D8)</f>
        <v>19387</v>
      </c>
      <c r="E9" s="7">
        <f t="shared" si="0"/>
        <v>111197.3</v>
      </c>
      <c r="G9" s="7">
        <f>SUM(G3:G8)</f>
        <v>101250.97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30E0D-336E-4A79-8FB3-4053BFC93AC7}">
  <dimension ref="B1:H7"/>
  <sheetViews>
    <sheetView workbookViewId="0">
      <selection activeCell="B9" sqref="B9"/>
    </sheetView>
  </sheetViews>
  <sheetFormatPr defaultRowHeight="14.4" x14ac:dyDescent="0.3"/>
  <cols>
    <col min="1" max="1" style="45" width="8.88671875" collapsed="true"/>
    <col min="2" max="2" customWidth="true" width="10.33203125" collapsed="true"/>
    <col min="6" max="6" customWidth="true" width="10.6640625" collapsed="true"/>
  </cols>
  <sheetData>
    <row r="1" spans="2:8" s="45" customFormat="1" x14ac:dyDescent="0.3"/>
    <row r="2" spans="2:8" x14ac:dyDescent="0.3">
      <c r="B2" s="26" t="s">
        <v>121</v>
      </c>
      <c r="C2" s="26" t="s">
        <v>122</v>
      </c>
      <c r="D2" s="26" t="s">
        <v>120</v>
      </c>
      <c r="F2" s="26" t="s">
        <v>121</v>
      </c>
      <c r="G2" s="26" t="s">
        <v>122</v>
      </c>
      <c r="H2" s="26" t="s">
        <v>120</v>
      </c>
    </row>
    <row r="3" spans="2:8" x14ac:dyDescent="0.3">
      <c r="B3" s="7" t="s">
        <v>123</v>
      </c>
      <c r="C3" s="7" t="s">
        <v>25</v>
      </c>
      <c r="D3" s="7">
        <v>100</v>
      </c>
      <c r="F3" s="7" t="s">
        <v>124</v>
      </c>
      <c r="G3" s="7" t="s">
        <v>24</v>
      </c>
      <c r="H3" s="7">
        <v>100</v>
      </c>
    </row>
    <row r="4" spans="2:8" x14ac:dyDescent="0.3">
      <c r="B4" s="7" t="s">
        <v>124</v>
      </c>
      <c r="C4" s="7" t="s">
        <v>25</v>
      </c>
      <c r="D4" s="7">
        <v>100</v>
      </c>
      <c r="F4" s="7" t="s">
        <v>128</v>
      </c>
      <c r="G4" s="7" t="s">
        <v>24</v>
      </c>
      <c r="H4" s="7">
        <v>150</v>
      </c>
    </row>
    <row r="5" spans="2:8" x14ac:dyDescent="0.3">
      <c r="B5" s="7" t="s">
        <v>125</v>
      </c>
      <c r="C5" s="7" t="s">
        <v>25</v>
      </c>
      <c r="D5" s="7">
        <v>100</v>
      </c>
      <c r="F5" s="7" t="s">
        <v>129</v>
      </c>
      <c r="G5" s="7" t="s">
        <v>24</v>
      </c>
      <c r="H5" s="7">
        <v>400</v>
      </c>
    </row>
    <row r="6" spans="2:8" x14ac:dyDescent="0.3">
      <c r="B6" s="7" t="s">
        <v>126</v>
      </c>
      <c r="C6" s="7" t="s">
        <v>25</v>
      </c>
      <c r="D6" s="7">
        <v>50</v>
      </c>
      <c r="F6" s="7" t="s">
        <v>127</v>
      </c>
      <c r="G6" s="7" t="s">
        <v>24</v>
      </c>
      <c r="H6" s="7">
        <v>150</v>
      </c>
    </row>
    <row r="7" spans="2:8" x14ac:dyDescent="0.3">
      <c r="C7" s="32" t="s">
        <v>107</v>
      </c>
      <c r="D7" s="7">
        <f>SUM(D3:D6)</f>
        <v>350</v>
      </c>
      <c r="G7" s="32" t="s">
        <v>107</v>
      </c>
      <c r="H7" s="7">
        <f>SUM(H3:H6)</f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02.2020</vt:lpstr>
      <vt:lpstr>Bilans roczny</vt:lpstr>
      <vt:lpstr>Ustawienia</vt:lpstr>
      <vt:lpstr>Fundusze</vt:lpstr>
      <vt:lpstr>Ewidencja napraw samochodu</vt:lpstr>
      <vt:lpstr>Zakup mieszkania</vt:lpstr>
      <vt:lpstr>Dziesięciny</vt:lpstr>
      <vt:lpstr>Kategoria</vt:lpstr>
      <vt:lpstr>ListRob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2019-09-01T17:32:24Z</dcterms:created>
  <dc:creator>Michał Babiarz</dc:creator>
  <cp:lastModifiedBy>Michał Babiarz</cp:lastModifiedBy>
  <dcterms:modified xsi:type="dcterms:W3CDTF">2020-02-07T22:47:12Z</dcterms:modified>
</cp:coreProperties>
</file>